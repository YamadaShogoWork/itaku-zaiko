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ate1904="1"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sutomuyamada/Library/CloudStorage/Dropbox/着る山菜関係/売店納品表/道の駅白い森おぐに/2026/"/>
    </mc:Choice>
  </mc:AlternateContent>
  <xr:revisionPtr revIDLastSave="0" documentId="13_ncr:1_{CD611E57-57E7-A647-B7C1-42CBE451FB09}" xr6:coauthVersionLast="47" xr6:coauthVersionMax="47" xr10:uidLastSave="{00000000-0000-0000-0000-000000000000}"/>
  <bookViews>
    <workbookView xWindow="3980" yWindow="520" windowWidth="47220" windowHeight="27060" tabRatio="500" xr2:uid="{00000000-000D-0000-FFFF-FFFF00000000}"/>
  </bookViews>
  <sheets>
    <sheet name="T0.7_P0.7.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32" i="3" l="1"/>
  <c r="F43" i="3"/>
  <c r="J23" i="3"/>
  <c r="L23" i="3" s="1"/>
  <c r="D23" i="3"/>
  <c r="J22" i="3"/>
  <c r="L22" i="3" s="1"/>
  <c r="D22" i="3"/>
  <c r="J20" i="3"/>
  <c r="L20" i="3" s="1"/>
  <c r="J21" i="3"/>
  <c r="L21" i="3" s="1"/>
  <c r="D20" i="3"/>
  <c r="D21" i="3"/>
  <c r="J39" i="3"/>
  <c r="L39" i="3" s="1"/>
  <c r="D39" i="3"/>
  <c r="J18" i="3"/>
  <c r="L18" i="3" s="1"/>
  <c r="J19" i="3"/>
  <c r="L19" i="3" s="1"/>
  <c r="D19" i="3"/>
  <c r="J30" i="3"/>
  <c r="L30" i="3" s="1"/>
  <c r="D30" i="3"/>
  <c r="K43" i="3"/>
  <c r="J31" i="3"/>
  <c r="L31" i="3" s="1"/>
  <c r="D31" i="3"/>
  <c r="J42" i="3"/>
  <c r="L42" i="3" s="1"/>
  <c r="G43" i="3"/>
  <c r="H43" i="3"/>
  <c r="I43" i="3"/>
  <c r="E43" i="3"/>
  <c r="D42" i="3"/>
  <c r="J29" i="3"/>
  <c r="L29" i="3" s="1"/>
  <c r="J32" i="3"/>
  <c r="L32" i="3" s="1"/>
  <c r="J33" i="3"/>
  <c r="L33" i="3" s="1"/>
  <c r="J17" i="3"/>
  <c r="L17" i="3" s="1"/>
  <c r="M39" i="3" l="1"/>
  <c r="M21" i="3"/>
  <c r="M20" i="3"/>
  <c r="M22" i="3"/>
  <c r="M30" i="3"/>
  <c r="M23" i="3"/>
  <c r="M31" i="3"/>
  <c r="M29" i="3"/>
  <c r="M19" i="3"/>
  <c r="M18" i="3"/>
  <c r="M42" i="3"/>
  <c r="M32" i="3"/>
  <c r="J38" i="3"/>
  <c r="L38" i="3" s="1"/>
  <c r="D38" i="3"/>
  <c r="D17" i="3"/>
  <c r="M17" i="3" s="1"/>
  <c r="J27" i="3"/>
  <c r="L27" i="3" s="1"/>
  <c r="D27" i="3"/>
  <c r="J25" i="3"/>
  <c r="L25" i="3" s="1"/>
  <c r="D25" i="3"/>
  <c r="D33" i="3"/>
  <c r="M33" i="3" s="1"/>
  <c r="J26" i="3"/>
  <c r="L26" i="3" s="1"/>
  <c r="M26" i="3" s="1"/>
  <c r="J28" i="3"/>
  <c r="L28" i="3" s="1"/>
  <c r="J24" i="3"/>
  <c r="L24" i="3" s="1"/>
  <c r="D28" i="3"/>
  <c r="D24" i="3"/>
  <c r="D29" i="3"/>
  <c r="D26" i="3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M14" i="3" s="1"/>
  <c r="J15" i="3"/>
  <c r="L15" i="3" s="1"/>
  <c r="J16" i="3"/>
  <c r="L16" i="3" s="1"/>
  <c r="J34" i="3"/>
  <c r="L34" i="3" s="1"/>
  <c r="J35" i="3"/>
  <c r="L35" i="3" s="1"/>
  <c r="J36" i="3"/>
  <c r="L36" i="3" s="1"/>
  <c r="J37" i="3"/>
  <c r="L37" i="3" s="1"/>
  <c r="J40" i="3"/>
  <c r="L40" i="3" s="1"/>
  <c r="J41" i="3"/>
  <c r="L41" i="3" s="1"/>
  <c r="J5" i="3"/>
  <c r="L5" i="3" s="1"/>
  <c r="D18" i="3"/>
  <c r="D15" i="3"/>
  <c r="D16" i="3"/>
  <c r="D34" i="3"/>
  <c r="D35" i="3"/>
  <c r="D36" i="3"/>
  <c r="D37" i="3"/>
  <c r="D40" i="3"/>
  <c r="D41" i="3"/>
  <c r="D14" i="3"/>
  <c r="M40" i="3" l="1"/>
  <c r="M34" i="3"/>
  <c r="M15" i="3"/>
  <c r="M36" i="3"/>
  <c r="M25" i="3"/>
  <c r="M35" i="3"/>
  <c r="M11" i="3"/>
  <c r="M24" i="3"/>
  <c r="M38" i="3"/>
  <c r="M16" i="3"/>
  <c r="M27" i="3"/>
  <c r="M41" i="3"/>
  <c r="M37" i="3"/>
  <c r="M10" i="3"/>
  <c r="M28" i="3"/>
  <c r="L43" i="3"/>
  <c r="J43" i="3"/>
  <c r="D6" i="3"/>
  <c r="M6" i="3" s="1"/>
  <c r="D7" i="3"/>
  <c r="M7" i="3" s="1"/>
  <c r="D8" i="3"/>
  <c r="M8" i="3" s="1"/>
  <c r="D9" i="3"/>
  <c r="M9" i="3" s="1"/>
  <c r="D10" i="3"/>
  <c r="D11" i="3"/>
  <c r="D12" i="3"/>
  <c r="M12" i="3" s="1"/>
  <c r="D13" i="3"/>
  <c r="M13" i="3" s="1"/>
  <c r="D5" i="3"/>
  <c r="M5" i="3" s="1"/>
  <c r="M43" i="3" l="1"/>
</calcChain>
</file>

<file path=xl/sharedStrings.xml><?xml version="1.0" encoding="utf-8"?>
<sst xmlns="http://schemas.openxmlformats.org/spreadsheetml/2006/main" count="64" uniqueCount="49">
  <si>
    <t>山菜図鑑
Tシャツ</t>
    <rPh sb="2" eb="4">
      <t>ズカン</t>
    </rPh>
    <phoneticPr fontId="2"/>
  </si>
  <si>
    <t>ふきのとう
Tシャツ</t>
    <phoneticPr fontId="2"/>
  </si>
  <si>
    <t>こごめトートバッグ</t>
    <phoneticPr fontId="2"/>
  </si>
  <si>
    <t>こごめ
Tシャツ</t>
    <phoneticPr fontId="2"/>
  </si>
  <si>
    <t>合計</t>
    <rPh sb="0" eb="2">
      <t>ゴウケイ</t>
    </rPh>
    <phoneticPr fontId="2"/>
  </si>
  <si>
    <t>下代
（税込）</t>
    <rPh sb="0" eb="2">
      <t>ゲダイ</t>
    </rPh>
    <rPh sb="4" eb="6">
      <t>ゼイコ</t>
    </rPh>
    <phoneticPr fontId="2"/>
  </si>
  <si>
    <t>期間内納品数</t>
    <rPh sb="0" eb="3">
      <t>キカンナイ</t>
    </rPh>
    <rPh sb="3" eb="5">
      <t>ノウヒン</t>
    </rPh>
    <rPh sb="5" eb="6">
      <t>スウ</t>
    </rPh>
    <phoneticPr fontId="2"/>
  </si>
  <si>
    <t>期間内
納品計</t>
    <rPh sb="0" eb="3">
      <t>キカンナイ</t>
    </rPh>
    <rPh sb="4" eb="6">
      <t>ノウヒン</t>
    </rPh>
    <rPh sb="6" eb="7">
      <t>ケイ</t>
    </rPh>
    <phoneticPr fontId="2"/>
  </si>
  <si>
    <t>上代
（税込）</t>
    <rPh sb="0" eb="2">
      <t>ジョウダイ</t>
    </rPh>
    <rPh sb="4" eb="6">
      <t>ゼイコ</t>
    </rPh>
    <phoneticPr fontId="2"/>
  </si>
  <si>
    <t>期末
在庫数</t>
    <rPh sb="0" eb="6">
      <t>キマツザイコスウ</t>
    </rPh>
    <phoneticPr fontId="2"/>
  </si>
  <si>
    <t>売上
点数</t>
    <rPh sb="0" eb="1">
      <t>ウ</t>
    </rPh>
    <rPh sb="1" eb="2">
      <t>ア</t>
    </rPh>
    <rPh sb="3" eb="5">
      <t>テンスウ</t>
    </rPh>
    <phoneticPr fontId="2"/>
  </si>
  <si>
    <t>売上額</t>
    <rPh sb="0" eb="3">
      <t>ウリアゲガク</t>
    </rPh>
    <phoneticPr fontId="2"/>
  </si>
  <si>
    <t>品名</t>
    <rPh sb="0" eb="2">
      <t>ヒンメイ</t>
    </rPh>
    <phoneticPr fontId="2"/>
  </si>
  <si>
    <t>色</t>
    <rPh sb="0" eb="1">
      <t>イロ</t>
    </rPh>
    <phoneticPr fontId="2"/>
  </si>
  <si>
    <t>白</t>
    <rPh sb="0" eb="1">
      <t>シロ</t>
    </rPh>
    <phoneticPr fontId="2"/>
  </si>
  <si>
    <t>黒</t>
    <rPh sb="0" eb="1">
      <t>クロ</t>
    </rPh>
    <phoneticPr fontId="2"/>
  </si>
  <si>
    <t>カーキ</t>
    <phoneticPr fontId="2"/>
  </si>
  <si>
    <t>期首
納品数</t>
    <rPh sb="0" eb="2">
      <t>キシュ</t>
    </rPh>
    <rPh sb="3" eb="5">
      <t>ノウヒン</t>
    </rPh>
    <rPh sb="5" eb="6">
      <t>スウ</t>
    </rPh>
    <phoneticPr fontId="2"/>
  </si>
  <si>
    <t>山菜図鑑トートバッグ　ネイビー</t>
    <rPh sb="0" eb="2">
      <t>サンサイ</t>
    </rPh>
    <rPh sb="2" eb="4">
      <t>ズカン</t>
    </rPh>
    <phoneticPr fontId="2"/>
  </si>
  <si>
    <t>山菜図鑑トートバッグ　グリーン</t>
    <rPh sb="0" eb="2">
      <t>サンサイ</t>
    </rPh>
    <rPh sb="2" eb="4">
      <t>ズカン</t>
    </rPh>
    <phoneticPr fontId="2"/>
  </si>
  <si>
    <t>山菜図鑑トートバッグ　カーキL</t>
    <rPh sb="0" eb="2">
      <t>サンサイ</t>
    </rPh>
    <rPh sb="2" eb="4">
      <t>ズカン</t>
    </rPh>
    <phoneticPr fontId="2"/>
  </si>
  <si>
    <t>アッシュ</t>
    <phoneticPr fontId="2"/>
  </si>
  <si>
    <t>インディゴ</t>
    <phoneticPr fontId="2"/>
  </si>
  <si>
    <t>山菜図鑑トートバッグ　ナチュラル</t>
    <rPh sb="0" eb="2">
      <t>サンサイ</t>
    </rPh>
    <rPh sb="2" eb="4">
      <t>ズカン</t>
    </rPh>
    <phoneticPr fontId="2"/>
  </si>
  <si>
    <t xml:space="preserve">道の駅白い森おぐに様 </t>
    <rPh sb="0" eb="1">
      <t xml:space="preserve">ミチノエキ </t>
    </rPh>
    <rPh sb="3" eb="4">
      <t xml:space="preserve">シロイモリ </t>
    </rPh>
    <phoneticPr fontId="2"/>
  </si>
  <si>
    <t>みょうが
Tシャツ</t>
    <phoneticPr fontId="2"/>
  </si>
  <si>
    <t>サンドベージュ</t>
    <phoneticPr fontId="2"/>
  </si>
  <si>
    <t>ダスティピンク</t>
    <phoneticPr fontId="2"/>
  </si>
  <si>
    <t>こごめ
パーカー</t>
    <phoneticPr fontId="2"/>
  </si>
  <si>
    <t>オリーブ</t>
    <phoneticPr fontId="2"/>
  </si>
  <si>
    <t>山菜図鑑
パーカー</t>
    <rPh sb="0" eb="1">
      <t xml:space="preserve">サンサイズカン </t>
    </rPh>
    <phoneticPr fontId="2"/>
  </si>
  <si>
    <t>みょうが
パーカー</t>
    <phoneticPr fontId="2"/>
  </si>
  <si>
    <t>黒</t>
    <rPh sb="0" eb="1">
      <t xml:space="preserve">クロ </t>
    </rPh>
    <phoneticPr fontId="2"/>
  </si>
  <si>
    <t>みょうがトートバッグ</t>
    <phoneticPr fontId="2"/>
  </si>
  <si>
    <t>山菜図鑑 手ぬぐい</t>
    <rPh sb="0" eb="2">
      <t>サンサイ</t>
    </rPh>
    <rPh sb="2" eb="4">
      <t>ズカン</t>
    </rPh>
    <rPh sb="5" eb="6">
      <t>テ</t>
    </rPh>
    <phoneticPr fontId="2"/>
  </si>
  <si>
    <t>こごめ 手ぬぐい</t>
    <rPh sb="4" eb="5">
      <t>テ</t>
    </rPh>
    <phoneticPr fontId="2"/>
  </si>
  <si>
    <t>みょうが 手ぬぐい</t>
    <rPh sb="5" eb="6">
      <t>テ</t>
    </rPh>
    <phoneticPr fontId="2"/>
  </si>
  <si>
    <t>メルロー</t>
    <phoneticPr fontId="2"/>
  </si>
  <si>
    <t>野草Tシャツ</t>
    <rPh sb="0" eb="2">
      <t xml:space="preserve">ヤソウ </t>
    </rPh>
    <phoneticPr fontId="2"/>
  </si>
  <si>
    <t>白</t>
    <rPh sb="0" eb="1">
      <t xml:space="preserve">シロ </t>
    </rPh>
    <phoneticPr fontId="2"/>
  </si>
  <si>
    <t>野草トートバッグ</t>
    <rPh sb="0" eb="2">
      <t xml:space="preserve">ヤソア </t>
    </rPh>
    <phoneticPr fontId="2"/>
  </si>
  <si>
    <t>なめこTシャツ</t>
    <phoneticPr fontId="2"/>
  </si>
  <si>
    <t>田んぼの生きものTシャツ</t>
    <rPh sb="0" eb="1">
      <t xml:space="preserve">タンボノ </t>
    </rPh>
    <rPh sb="4" eb="5">
      <t xml:space="preserve">イキモノ </t>
    </rPh>
    <phoneticPr fontId="2"/>
  </si>
  <si>
    <t>※見本貸出=山菜図鑑Tシャツ黒L1枚　／　みょうがTシャツベージュM1枚　／　なめこTシャツ1枚
※パーカーの見本は提供できません。必要に応じて委託品を開封してお使いいただき、見本用に開封した商品もお売り下さい。パーカーの掛け率は0.8です。</t>
    <rPh sb="3" eb="5">
      <t xml:space="preserve">カシダシ </t>
    </rPh>
    <rPh sb="6" eb="10">
      <t xml:space="preserve">サンサイズカン </t>
    </rPh>
    <rPh sb="14" eb="15">
      <t xml:space="preserve">クロ </t>
    </rPh>
    <rPh sb="17" eb="18">
      <t xml:space="preserve">マイ </t>
    </rPh>
    <rPh sb="35" eb="36">
      <t xml:space="preserve">マイ </t>
    </rPh>
    <rPh sb="47" eb="48">
      <t xml:space="preserve">マイ </t>
    </rPh>
    <rPh sb="55" eb="57">
      <t xml:space="preserve">ミホンハ </t>
    </rPh>
    <rPh sb="58" eb="60">
      <t xml:space="preserve">テイキョウデキマセン </t>
    </rPh>
    <rPh sb="66" eb="68">
      <t xml:space="preserve">ヒツヨウニオウジテ </t>
    </rPh>
    <rPh sb="72" eb="75">
      <t xml:space="preserve">イタクヒンニ </t>
    </rPh>
    <rPh sb="76" eb="78">
      <t xml:space="preserve">カイフウシテ </t>
    </rPh>
    <rPh sb="88" eb="91">
      <t xml:space="preserve">ミホンヨウニ </t>
    </rPh>
    <rPh sb="92" eb="94">
      <t xml:space="preserve">カイフウシタショウヒン </t>
    </rPh>
    <rPh sb="111" eb="112">
      <t xml:space="preserve">カケリツハ </t>
    </rPh>
    <phoneticPr fontId="2"/>
  </si>
  <si>
    <t xml:space="preserve"> Kids</t>
    <phoneticPr fontId="2"/>
  </si>
  <si>
    <t>スモーキーグリーン【終売】</t>
    <rPh sb="10" eb="12">
      <t xml:space="preserve">シュウバイ </t>
    </rPh>
    <phoneticPr fontId="2"/>
  </si>
  <si>
    <t>期首日：2026.05.01〜　期末日（締め日）：2026.05.31</t>
    <phoneticPr fontId="2"/>
  </si>
  <si>
    <t>5/26</t>
    <phoneticPr fontId="2"/>
  </si>
  <si>
    <t>5/19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</si>
</sst>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0_);[Red]\(0\)"/>
    <numFmt numFmtId="178" formatCode="#"/>
    <numFmt numFmtId="179" formatCode=";;;"/>
  </numFmts>
  <fonts count="7">
    <font>
      <sz val="11"/>
      <name val="ＭＳ Ｐゴシック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2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3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/>
    <xf numFmtId="177" fontId="3" fillId="0" borderId="1" xfId="0" applyNumberFormat="1" applyFon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79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horizontal="left" vertical="center"/>
    </xf>
    <xf numFmtId="176" fontId="3" fillId="0" borderId="6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176" fontId="4" fillId="0" borderId="3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vertical="top" wrapText="1"/>
    </xf>
    <xf numFmtId="176" fontId="3" fillId="0" borderId="0" xfId="0" applyNumberFormat="1" applyFont="1" applyAlignment="1">
      <alignment horizontal="center" vertical="top"/>
    </xf>
    <xf numFmtId="176" fontId="3" fillId="0" borderId="0" xfId="0" applyNumberFormat="1" applyFont="1" applyAlignment="1">
      <alignment vertical="top"/>
    </xf>
    <xf numFmtId="176" fontId="3" fillId="0" borderId="1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right" vertical="center"/>
    </xf>
    <xf numFmtId="0" fontId="3" fillId="0" borderId="1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view="pageLayout" topLeftCell="A2" zoomScale="150" zoomScaleNormal="150" zoomScalePageLayoutView="150" workbookViewId="0">
      <selection activeCell="K43" sqref="K43"/>
    </sheetView>
  </sheetViews>
  <sheetFormatPr baseColWidth="10" defaultColWidth="8" defaultRowHeight="14"/>
  <cols>
    <col min="1" max="1" width="12" style="3" customWidth="1"/>
    <col min="2" max="2" width="12.1640625" style="2" customWidth="1"/>
    <col min="3" max="3" width="6.1640625" style="3" customWidth="1"/>
    <col min="4" max="4" width="5.83203125" style="3" customWidth="1"/>
    <col min="5" max="5" width="6" style="3" customWidth="1"/>
    <col min="6" max="8" width="5" style="3" customWidth="1"/>
    <col min="9" max="9" width="5" style="2" customWidth="1"/>
    <col min="10" max="11" width="6" style="3" customWidth="1"/>
    <col min="12" max="12" width="4.6640625" style="3" customWidth="1"/>
    <col min="13" max="13" width="7.5" style="3" customWidth="1"/>
    <col min="14" max="16384" width="8" style="3"/>
  </cols>
  <sheetData>
    <row r="1" spans="1:13" ht="18" thickBot="1">
      <c r="A1" s="30" t="s">
        <v>24</v>
      </c>
      <c r="B1" s="30"/>
      <c r="C1" s="30"/>
      <c r="D1" s="30"/>
      <c r="E1" s="1"/>
      <c r="F1" s="27" t="s">
        <v>46</v>
      </c>
      <c r="G1" s="27"/>
      <c r="H1" s="27"/>
      <c r="I1" s="27"/>
      <c r="J1" s="27"/>
      <c r="K1" s="27"/>
      <c r="L1" s="27"/>
      <c r="M1" s="27"/>
    </row>
    <row r="2" spans="1:13" ht="17">
      <c r="A2" s="11"/>
      <c r="B2" s="10"/>
    </row>
    <row r="3" spans="1:13" s="2" customFormat="1" ht="15" customHeight="1">
      <c r="A3" s="31" t="s">
        <v>12</v>
      </c>
      <c r="B3" s="33" t="s">
        <v>13</v>
      </c>
      <c r="C3" s="31" t="s">
        <v>8</v>
      </c>
      <c r="D3" s="31" t="s">
        <v>5</v>
      </c>
      <c r="E3" s="31" t="s">
        <v>17</v>
      </c>
      <c r="F3" s="43" t="s">
        <v>6</v>
      </c>
      <c r="G3" s="32"/>
      <c r="H3" s="32"/>
      <c r="I3" s="32"/>
      <c r="J3" s="31" t="s">
        <v>7</v>
      </c>
      <c r="K3" s="31" t="s">
        <v>9</v>
      </c>
      <c r="L3" s="31" t="s">
        <v>10</v>
      </c>
      <c r="M3" s="43" t="s">
        <v>11</v>
      </c>
    </row>
    <row r="4" spans="1:13" s="2" customFormat="1" ht="14" customHeight="1">
      <c r="A4" s="32"/>
      <c r="B4" s="34"/>
      <c r="C4" s="32"/>
      <c r="D4" s="32"/>
      <c r="E4" s="32"/>
      <c r="F4" s="19" t="s">
        <v>48</v>
      </c>
      <c r="G4" s="19" t="s">
        <v>47</v>
      </c>
      <c r="H4" s="6"/>
      <c r="I4" s="6"/>
      <c r="J4" s="32"/>
      <c r="K4" s="43"/>
      <c r="L4" s="43"/>
      <c r="M4" s="43"/>
    </row>
    <row r="5" spans="1:13" s="2" customFormat="1" ht="16" customHeight="1">
      <c r="A5" s="44" t="s">
        <v>0</v>
      </c>
      <c r="B5" s="7" t="s">
        <v>14</v>
      </c>
      <c r="C5" s="5">
        <v>3300</v>
      </c>
      <c r="D5" s="5">
        <f>C5*0.75</f>
        <v>2475</v>
      </c>
      <c r="E5" s="24">
        <v>37</v>
      </c>
      <c r="F5" s="20"/>
      <c r="G5" s="20"/>
      <c r="H5" s="12"/>
      <c r="I5" s="12"/>
      <c r="J5" s="16">
        <f>SUM(E5:I5)</f>
        <v>37</v>
      </c>
      <c r="K5" s="47">
        <v>29</v>
      </c>
      <c r="L5" s="47">
        <f>J5-K5</f>
        <v>8</v>
      </c>
      <c r="M5" s="47">
        <f>L5*D5</f>
        <v>19800</v>
      </c>
    </row>
    <row r="6" spans="1:13" s="2" customFormat="1" ht="16" customHeight="1">
      <c r="A6" s="38"/>
      <c r="B6" s="8" t="s">
        <v>21</v>
      </c>
      <c r="C6" s="5">
        <v>3300</v>
      </c>
      <c r="D6" s="5">
        <f t="shared" ref="D6:D13" si="0">C6*0.75</f>
        <v>2475</v>
      </c>
      <c r="E6" s="24">
        <v>28</v>
      </c>
      <c r="F6" s="20"/>
      <c r="G6" s="20"/>
      <c r="H6" s="12"/>
      <c r="I6" s="12"/>
      <c r="J6" s="16">
        <f t="shared" ref="J6:J42" si="1">SUM(E6:I6)</f>
        <v>28</v>
      </c>
      <c r="K6" s="47">
        <v>26</v>
      </c>
      <c r="L6" s="47">
        <f t="shared" ref="L6:L42" si="2">J6-K6</f>
        <v>2</v>
      </c>
      <c r="M6" s="47">
        <f t="shared" ref="M6:M42" si="3">L6*D6</f>
        <v>4950</v>
      </c>
    </row>
    <row r="7" spans="1:13" s="2" customFormat="1" ht="16" customHeight="1">
      <c r="A7" s="38"/>
      <c r="B7" s="8" t="s">
        <v>15</v>
      </c>
      <c r="C7" s="5">
        <v>3300</v>
      </c>
      <c r="D7" s="5">
        <f t="shared" si="0"/>
        <v>2475</v>
      </c>
      <c r="E7" s="24">
        <v>26</v>
      </c>
      <c r="F7" s="20">
        <v>30</v>
      </c>
      <c r="G7" s="20"/>
      <c r="H7" s="12"/>
      <c r="I7" s="12"/>
      <c r="J7" s="16">
        <f t="shared" si="1"/>
        <v>56</v>
      </c>
      <c r="K7" s="47">
        <v>29</v>
      </c>
      <c r="L7" s="47">
        <f t="shared" si="2"/>
        <v>27</v>
      </c>
      <c r="M7" s="47">
        <f t="shared" si="3"/>
        <v>66825</v>
      </c>
    </row>
    <row r="8" spans="1:13" s="2" customFormat="1" ht="16" customHeight="1">
      <c r="A8" s="34"/>
      <c r="B8" s="8" t="s">
        <v>22</v>
      </c>
      <c r="C8" s="5">
        <v>3300</v>
      </c>
      <c r="D8" s="5">
        <f t="shared" si="0"/>
        <v>2475</v>
      </c>
      <c r="E8" s="24">
        <v>4</v>
      </c>
      <c r="F8" s="20">
        <v>9</v>
      </c>
      <c r="G8" s="20">
        <v>4</v>
      </c>
      <c r="H8" s="12"/>
      <c r="I8" s="12"/>
      <c r="J8" s="16">
        <f t="shared" si="1"/>
        <v>17</v>
      </c>
      <c r="K8" s="47">
        <v>10</v>
      </c>
      <c r="L8" s="47">
        <f t="shared" si="2"/>
        <v>7</v>
      </c>
      <c r="M8" s="47">
        <f t="shared" si="3"/>
        <v>17325</v>
      </c>
    </row>
    <row r="9" spans="1:13" s="2" customFormat="1" ht="16" customHeight="1">
      <c r="A9" s="35" t="s">
        <v>3</v>
      </c>
      <c r="B9" s="9" t="s">
        <v>14</v>
      </c>
      <c r="C9" s="5">
        <v>3300</v>
      </c>
      <c r="D9" s="5">
        <f t="shared" si="0"/>
        <v>2475</v>
      </c>
      <c r="E9" s="24"/>
      <c r="F9" s="20"/>
      <c r="G9" s="20"/>
      <c r="H9" s="12"/>
      <c r="I9" s="12"/>
      <c r="J9" s="16">
        <f t="shared" si="1"/>
        <v>0</v>
      </c>
      <c r="K9" s="47"/>
      <c r="L9" s="47">
        <f t="shared" si="2"/>
        <v>0</v>
      </c>
      <c r="M9" s="47">
        <f t="shared" si="3"/>
        <v>0</v>
      </c>
    </row>
    <row r="10" spans="1:13" s="2" customFormat="1" ht="16" customHeight="1">
      <c r="A10" s="37"/>
      <c r="B10" s="14" t="s">
        <v>21</v>
      </c>
      <c r="C10" s="5">
        <v>3300</v>
      </c>
      <c r="D10" s="5">
        <f t="shared" si="0"/>
        <v>2475</v>
      </c>
      <c r="E10" s="24">
        <v>7</v>
      </c>
      <c r="F10" s="20"/>
      <c r="G10" s="20"/>
      <c r="H10" s="12"/>
      <c r="I10" s="12"/>
      <c r="J10" s="16">
        <f t="shared" si="1"/>
        <v>7</v>
      </c>
      <c r="K10" s="47">
        <v>4</v>
      </c>
      <c r="L10" s="47">
        <f t="shared" si="2"/>
        <v>3</v>
      </c>
      <c r="M10" s="47">
        <f t="shared" si="3"/>
        <v>7425</v>
      </c>
    </row>
    <row r="11" spans="1:13" s="2" customFormat="1" ht="16" customHeight="1">
      <c r="A11" s="38"/>
      <c r="B11" s="9" t="s">
        <v>15</v>
      </c>
      <c r="C11" s="5">
        <v>3300</v>
      </c>
      <c r="D11" s="5">
        <f t="shared" si="0"/>
        <v>2475</v>
      </c>
      <c r="E11" s="24"/>
      <c r="F11" s="20"/>
      <c r="G11" s="20"/>
      <c r="H11" s="12"/>
      <c r="I11" s="12"/>
      <c r="J11" s="16">
        <f t="shared" si="1"/>
        <v>0</v>
      </c>
      <c r="K11" s="47"/>
      <c r="L11" s="47">
        <f t="shared" si="2"/>
        <v>0</v>
      </c>
      <c r="M11" s="47">
        <f t="shared" si="3"/>
        <v>0</v>
      </c>
    </row>
    <row r="12" spans="1:13" ht="16" customHeight="1">
      <c r="A12" s="34"/>
      <c r="B12" s="9" t="s">
        <v>16</v>
      </c>
      <c r="C12" s="5">
        <v>3300</v>
      </c>
      <c r="D12" s="5">
        <f t="shared" si="0"/>
        <v>2475</v>
      </c>
      <c r="E12" s="24">
        <v>6</v>
      </c>
      <c r="F12" s="20">
        <v>9</v>
      </c>
      <c r="G12" s="20"/>
      <c r="H12" s="12"/>
      <c r="I12" s="12"/>
      <c r="J12" s="16">
        <f t="shared" si="1"/>
        <v>15</v>
      </c>
      <c r="K12" s="47">
        <v>10</v>
      </c>
      <c r="L12" s="47">
        <f t="shared" si="2"/>
        <v>5</v>
      </c>
      <c r="M12" s="47">
        <f t="shared" si="3"/>
        <v>12375</v>
      </c>
    </row>
    <row r="13" spans="1:13" ht="16" customHeight="1">
      <c r="A13" s="35" t="s">
        <v>1</v>
      </c>
      <c r="B13" s="9" t="s">
        <v>14</v>
      </c>
      <c r="C13" s="5">
        <v>3300</v>
      </c>
      <c r="D13" s="5">
        <f t="shared" si="0"/>
        <v>2475</v>
      </c>
      <c r="E13" s="24"/>
      <c r="F13" s="20"/>
      <c r="G13" s="20"/>
      <c r="H13" s="12"/>
      <c r="I13" s="12"/>
      <c r="J13" s="16">
        <f t="shared" si="1"/>
        <v>0</v>
      </c>
      <c r="K13" s="47"/>
      <c r="L13" s="47">
        <f t="shared" si="2"/>
        <v>0</v>
      </c>
      <c r="M13" s="47">
        <f t="shared" si="3"/>
        <v>0</v>
      </c>
    </row>
    <row r="14" spans="1:13" ht="16" customHeight="1">
      <c r="A14" s="36"/>
      <c r="B14" s="9" t="s">
        <v>15</v>
      </c>
      <c r="C14" s="5">
        <v>3300</v>
      </c>
      <c r="D14" s="5">
        <f>C14*0.75</f>
        <v>2475</v>
      </c>
      <c r="E14" s="24"/>
      <c r="F14" s="20"/>
      <c r="G14" s="20"/>
      <c r="H14" s="12"/>
      <c r="I14" s="12"/>
      <c r="J14" s="16">
        <f t="shared" si="1"/>
        <v>0</v>
      </c>
      <c r="K14" s="47"/>
      <c r="L14" s="47">
        <f t="shared" si="2"/>
        <v>0</v>
      </c>
      <c r="M14" s="47">
        <f t="shared" si="3"/>
        <v>0</v>
      </c>
    </row>
    <row r="15" spans="1:13" ht="16" customHeight="1">
      <c r="A15" s="39" t="s">
        <v>25</v>
      </c>
      <c r="B15" s="17" t="s">
        <v>14</v>
      </c>
      <c r="C15" s="5">
        <v>3300</v>
      </c>
      <c r="D15" s="5">
        <f t="shared" ref="D15" si="4">C15*0.75</f>
        <v>2475</v>
      </c>
      <c r="E15" s="25">
        <v>18</v>
      </c>
      <c r="F15" s="21"/>
      <c r="G15" s="21"/>
      <c r="H15" s="4"/>
      <c r="I15" s="15"/>
      <c r="J15" s="16">
        <f t="shared" si="1"/>
        <v>18</v>
      </c>
      <c r="K15" s="48">
        <v>17</v>
      </c>
      <c r="L15" s="47">
        <f t="shared" si="2"/>
        <v>1</v>
      </c>
      <c r="M15" s="47">
        <f t="shared" si="3"/>
        <v>2475</v>
      </c>
    </row>
    <row r="16" spans="1:13" ht="16" customHeight="1">
      <c r="A16" s="39"/>
      <c r="B16" s="18" t="s">
        <v>26</v>
      </c>
      <c r="C16" s="5">
        <v>3300</v>
      </c>
      <c r="D16" s="5">
        <f>C16*0.75</f>
        <v>2475</v>
      </c>
      <c r="E16" s="24">
        <v>13</v>
      </c>
      <c r="F16" s="20"/>
      <c r="G16" s="20"/>
      <c r="H16" s="12"/>
      <c r="I16" s="12"/>
      <c r="J16" s="16">
        <f t="shared" si="1"/>
        <v>13</v>
      </c>
      <c r="K16" s="47">
        <v>13</v>
      </c>
      <c r="L16" s="47">
        <f t="shared" si="2"/>
        <v>0</v>
      </c>
      <c r="M16" s="47">
        <f t="shared" si="3"/>
        <v>0</v>
      </c>
    </row>
    <row r="17" spans="1:13" ht="16" customHeight="1">
      <c r="A17" s="39"/>
      <c r="B17" s="18" t="s">
        <v>27</v>
      </c>
      <c r="C17" s="5">
        <v>3300</v>
      </c>
      <c r="D17" s="5">
        <f>C17*0.75</f>
        <v>2475</v>
      </c>
      <c r="E17" s="24">
        <v>8</v>
      </c>
      <c r="F17" s="20"/>
      <c r="G17" s="20"/>
      <c r="H17" s="12"/>
      <c r="I17" s="12"/>
      <c r="J17" s="16">
        <f t="shared" si="1"/>
        <v>8</v>
      </c>
      <c r="K17" s="47">
        <v>4</v>
      </c>
      <c r="L17" s="47">
        <f t="shared" si="2"/>
        <v>4</v>
      </c>
      <c r="M17" s="47">
        <f t="shared" si="3"/>
        <v>9900</v>
      </c>
    </row>
    <row r="18" spans="1:13" ht="16" customHeight="1">
      <c r="A18" s="39"/>
      <c r="B18" s="18" t="s">
        <v>22</v>
      </c>
      <c r="C18" s="5">
        <v>3300</v>
      </c>
      <c r="D18" s="5">
        <f>C18*0.75</f>
        <v>2475</v>
      </c>
      <c r="E18" s="24"/>
      <c r="F18" s="20"/>
      <c r="G18" s="20"/>
      <c r="H18" s="12"/>
      <c r="I18" s="12"/>
      <c r="J18" s="16">
        <f t="shared" si="1"/>
        <v>0</v>
      </c>
      <c r="K18" s="47"/>
      <c r="L18" s="47">
        <f t="shared" si="2"/>
        <v>0</v>
      </c>
      <c r="M18" s="47">
        <f t="shared" si="3"/>
        <v>0</v>
      </c>
    </row>
    <row r="19" spans="1:13" ht="16" customHeight="1">
      <c r="A19" s="23" t="s">
        <v>38</v>
      </c>
      <c r="B19" s="18" t="s">
        <v>39</v>
      </c>
      <c r="C19" s="5">
        <v>3300</v>
      </c>
      <c r="D19" s="5">
        <f>C19*0.75</f>
        <v>2475</v>
      </c>
      <c r="E19" s="24">
        <v>7</v>
      </c>
      <c r="F19" s="20">
        <v>6</v>
      </c>
      <c r="G19" s="20"/>
      <c r="H19" s="12"/>
      <c r="I19" s="12"/>
      <c r="J19" s="16">
        <f t="shared" si="1"/>
        <v>13</v>
      </c>
      <c r="K19" s="47">
        <v>12</v>
      </c>
      <c r="L19" s="47">
        <f t="shared" si="2"/>
        <v>1</v>
      </c>
      <c r="M19" s="47">
        <f t="shared" si="3"/>
        <v>2475</v>
      </c>
    </row>
    <row r="20" spans="1:13" ht="16" customHeight="1">
      <c r="A20" s="35" t="s">
        <v>41</v>
      </c>
      <c r="B20" s="18" t="s">
        <v>26</v>
      </c>
      <c r="C20" s="5">
        <v>3300</v>
      </c>
      <c r="D20" s="5">
        <f t="shared" ref="D20:D23" si="5">C20*0.75</f>
        <v>2475</v>
      </c>
      <c r="E20" s="24">
        <v>11</v>
      </c>
      <c r="F20" s="20"/>
      <c r="G20" s="20"/>
      <c r="H20" s="12"/>
      <c r="I20" s="12"/>
      <c r="J20" s="16">
        <f t="shared" si="1"/>
        <v>11</v>
      </c>
      <c r="K20" s="47">
        <v>9</v>
      </c>
      <c r="L20" s="47">
        <f t="shared" si="2"/>
        <v>2</v>
      </c>
      <c r="M20" s="47">
        <f t="shared" si="3"/>
        <v>4950</v>
      </c>
    </row>
    <row r="21" spans="1:13" ht="16" customHeight="1">
      <c r="A21" s="36"/>
      <c r="B21" s="18" t="s">
        <v>32</v>
      </c>
      <c r="C21" s="5">
        <v>3300</v>
      </c>
      <c r="D21" s="5">
        <f t="shared" si="5"/>
        <v>2475</v>
      </c>
      <c r="E21" s="24">
        <v>7</v>
      </c>
      <c r="F21" s="20">
        <v>9</v>
      </c>
      <c r="G21" s="20">
        <v>3</v>
      </c>
      <c r="H21" s="12"/>
      <c r="I21" s="12"/>
      <c r="J21" s="16">
        <f t="shared" si="1"/>
        <v>19</v>
      </c>
      <c r="K21" s="47">
        <v>12</v>
      </c>
      <c r="L21" s="47">
        <f t="shared" si="2"/>
        <v>7</v>
      </c>
      <c r="M21" s="47">
        <f t="shared" si="3"/>
        <v>17325</v>
      </c>
    </row>
    <row r="22" spans="1:13" ht="17" customHeight="1">
      <c r="A22" s="45" t="s">
        <v>42</v>
      </c>
      <c r="B22" s="18" t="s">
        <v>26</v>
      </c>
      <c r="C22" s="5">
        <v>3300</v>
      </c>
      <c r="D22" s="5">
        <f t="shared" si="5"/>
        <v>2475</v>
      </c>
      <c r="E22" s="24">
        <v>4</v>
      </c>
      <c r="F22" s="20">
        <v>6</v>
      </c>
      <c r="G22" s="20"/>
      <c r="H22" s="12"/>
      <c r="I22" s="12"/>
      <c r="J22" s="16">
        <f t="shared" si="1"/>
        <v>10</v>
      </c>
      <c r="K22" s="47">
        <v>7</v>
      </c>
      <c r="L22" s="47">
        <f t="shared" si="2"/>
        <v>3</v>
      </c>
      <c r="M22" s="47">
        <f t="shared" si="3"/>
        <v>7425</v>
      </c>
    </row>
    <row r="23" spans="1:13" ht="16" customHeight="1">
      <c r="A23" s="46"/>
      <c r="B23" s="18" t="s">
        <v>44</v>
      </c>
      <c r="C23" s="5">
        <v>3300</v>
      </c>
      <c r="D23" s="5">
        <f t="shared" si="5"/>
        <v>2475</v>
      </c>
      <c r="E23" s="24">
        <v>1</v>
      </c>
      <c r="F23" s="20"/>
      <c r="G23" s="20"/>
      <c r="H23" s="12"/>
      <c r="I23" s="12"/>
      <c r="J23" s="16">
        <f t="shared" si="1"/>
        <v>1</v>
      </c>
      <c r="K23" s="47"/>
      <c r="L23" s="47">
        <f t="shared" si="2"/>
        <v>1</v>
      </c>
      <c r="M23" s="47">
        <f t="shared" si="3"/>
        <v>2475</v>
      </c>
    </row>
    <row r="24" spans="1:13" ht="16" customHeight="1">
      <c r="A24" s="35" t="s">
        <v>30</v>
      </c>
      <c r="B24" s="18" t="s">
        <v>21</v>
      </c>
      <c r="C24" s="5">
        <v>5500</v>
      </c>
      <c r="D24" s="5">
        <f>C24*0.8</f>
        <v>4400</v>
      </c>
      <c r="E24" s="24"/>
      <c r="F24" s="20"/>
      <c r="G24" s="20"/>
      <c r="H24" s="12"/>
      <c r="I24" s="12"/>
      <c r="J24" s="16">
        <f>SUM(E24:I24)</f>
        <v>0</v>
      </c>
      <c r="K24" s="47"/>
      <c r="L24" s="47">
        <f t="shared" si="2"/>
        <v>0</v>
      </c>
      <c r="M24" s="47">
        <f t="shared" si="3"/>
        <v>0</v>
      </c>
    </row>
    <row r="25" spans="1:13" ht="16" customHeight="1">
      <c r="A25" s="36"/>
      <c r="B25" s="18" t="s">
        <v>32</v>
      </c>
      <c r="C25" s="5">
        <v>5500</v>
      </c>
      <c r="D25" s="5">
        <f t="shared" ref="D25" si="6">C25*0.8</f>
        <v>4400</v>
      </c>
      <c r="E25" s="24">
        <v>1</v>
      </c>
      <c r="F25" s="20"/>
      <c r="G25" s="20"/>
      <c r="H25" s="12"/>
      <c r="I25" s="12"/>
      <c r="J25" s="16">
        <f>SUM(E25:I25)</f>
        <v>1</v>
      </c>
      <c r="K25" s="47">
        <v>1</v>
      </c>
      <c r="L25" s="47">
        <f t="shared" si="2"/>
        <v>0</v>
      </c>
      <c r="M25" s="47">
        <f t="shared" si="3"/>
        <v>0</v>
      </c>
    </row>
    <row r="26" spans="1:13" ht="16" customHeight="1">
      <c r="A26" s="39" t="s">
        <v>28</v>
      </c>
      <c r="B26" s="18" t="s">
        <v>29</v>
      </c>
      <c r="C26" s="5">
        <v>5500</v>
      </c>
      <c r="D26" s="5">
        <f>C26*0.8</f>
        <v>4400</v>
      </c>
      <c r="E26" s="24">
        <v>1</v>
      </c>
      <c r="F26" s="20"/>
      <c r="G26" s="20"/>
      <c r="H26" s="12"/>
      <c r="I26" s="12"/>
      <c r="J26" s="16">
        <f t="shared" si="1"/>
        <v>1</v>
      </c>
      <c r="K26" s="47">
        <v>1</v>
      </c>
      <c r="L26" s="47">
        <f t="shared" si="2"/>
        <v>0</v>
      </c>
      <c r="M26" s="47">
        <f t="shared" si="3"/>
        <v>0</v>
      </c>
    </row>
    <row r="27" spans="1:13" ht="16" customHeight="1">
      <c r="A27" s="39"/>
      <c r="B27" s="18" t="s">
        <v>32</v>
      </c>
      <c r="C27" s="5">
        <v>5500</v>
      </c>
      <c r="D27" s="5">
        <f>C27*0.8</f>
        <v>4400</v>
      </c>
      <c r="E27" s="24"/>
      <c r="F27" s="20"/>
      <c r="G27" s="20"/>
      <c r="H27" s="12"/>
      <c r="I27" s="12"/>
      <c r="J27" s="16">
        <f t="shared" si="1"/>
        <v>0</v>
      </c>
      <c r="K27" s="47"/>
      <c r="L27" s="47">
        <f t="shared" si="2"/>
        <v>0</v>
      </c>
      <c r="M27" s="47">
        <f t="shared" si="3"/>
        <v>0</v>
      </c>
    </row>
    <row r="28" spans="1:13" ht="16" customHeight="1">
      <c r="A28" s="39"/>
      <c r="B28" s="18" t="s">
        <v>21</v>
      </c>
      <c r="C28" s="5">
        <v>5500</v>
      </c>
      <c r="D28" s="5">
        <f t="shared" ref="D28:D32" si="7">C28*0.8</f>
        <v>4400</v>
      </c>
      <c r="E28" s="24"/>
      <c r="F28" s="20"/>
      <c r="G28" s="20"/>
      <c r="H28" s="12"/>
      <c r="I28" s="12"/>
      <c r="J28" s="16">
        <f t="shared" si="1"/>
        <v>0</v>
      </c>
      <c r="K28" s="47"/>
      <c r="L28" s="47">
        <f t="shared" si="2"/>
        <v>0</v>
      </c>
      <c r="M28" s="47">
        <f t="shared" si="3"/>
        <v>0</v>
      </c>
    </row>
    <row r="29" spans="1:13" ht="16" customHeight="1">
      <c r="A29" s="39" t="s">
        <v>31</v>
      </c>
      <c r="B29" s="18" t="s">
        <v>26</v>
      </c>
      <c r="C29" s="5">
        <v>5500</v>
      </c>
      <c r="D29" s="5">
        <f t="shared" si="7"/>
        <v>4400</v>
      </c>
      <c r="E29" s="24">
        <v>2</v>
      </c>
      <c r="F29" s="20"/>
      <c r="G29" s="20"/>
      <c r="H29" s="12"/>
      <c r="I29" s="12"/>
      <c r="J29" s="16">
        <f t="shared" si="1"/>
        <v>2</v>
      </c>
      <c r="K29" s="47">
        <v>2</v>
      </c>
      <c r="L29" s="47">
        <f t="shared" si="2"/>
        <v>0</v>
      </c>
      <c r="M29" s="47">
        <f t="shared" si="3"/>
        <v>0</v>
      </c>
    </row>
    <row r="30" spans="1:13" ht="16" customHeight="1">
      <c r="A30" s="39"/>
      <c r="B30" s="18" t="s">
        <v>21</v>
      </c>
      <c r="C30" s="5">
        <v>5500</v>
      </c>
      <c r="D30" s="5">
        <f t="shared" ref="D30" si="8">C30*0.8</f>
        <v>4400</v>
      </c>
      <c r="E30" s="24">
        <v>1</v>
      </c>
      <c r="F30" s="20"/>
      <c r="G30" s="20"/>
      <c r="H30" s="12"/>
      <c r="I30" s="12"/>
      <c r="J30" s="16">
        <f t="shared" si="1"/>
        <v>1</v>
      </c>
      <c r="K30" s="47">
        <v>1</v>
      </c>
      <c r="L30" s="47">
        <f t="shared" si="2"/>
        <v>0</v>
      </c>
      <c r="M30" s="47">
        <f t="shared" si="3"/>
        <v>0</v>
      </c>
    </row>
    <row r="31" spans="1:13" ht="16" customHeight="1">
      <c r="A31" s="39"/>
      <c r="B31" s="22" t="s">
        <v>37</v>
      </c>
      <c r="C31" s="5">
        <v>6600</v>
      </c>
      <c r="D31" s="5">
        <f t="shared" ref="D31" si="9">C31*0.8</f>
        <v>5280</v>
      </c>
      <c r="E31" s="24"/>
      <c r="F31" s="20"/>
      <c r="G31" s="20"/>
      <c r="H31" s="12"/>
      <c r="I31" s="12"/>
      <c r="J31" s="16">
        <f t="shared" si="1"/>
        <v>0</v>
      </c>
      <c r="K31" s="47"/>
      <c r="L31" s="47">
        <f t="shared" si="2"/>
        <v>0</v>
      </c>
      <c r="M31" s="47">
        <f t="shared" si="3"/>
        <v>0</v>
      </c>
    </row>
    <row r="32" spans="1:13" ht="16" customHeight="1">
      <c r="A32" s="39"/>
      <c r="B32" s="22" t="s">
        <v>45</v>
      </c>
      <c r="C32" s="5">
        <v>6600</v>
      </c>
      <c r="D32" s="5">
        <f t="shared" si="7"/>
        <v>5280</v>
      </c>
      <c r="E32" s="24">
        <v>1</v>
      </c>
      <c r="F32" s="20"/>
      <c r="G32" s="20"/>
      <c r="H32" s="12"/>
      <c r="I32" s="12"/>
      <c r="J32" s="16">
        <f t="shared" si="1"/>
        <v>1</v>
      </c>
      <c r="K32" s="47">
        <v>1</v>
      </c>
      <c r="L32" s="47">
        <f t="shared" si="2"/>
        <v>0</v>
      </c>
      <c r="M32" s="47">
        <f t="shared" si="3"/>
        <v>0</v>
      </c>
    </row>
    <row r="33" spans="1:13" ht="16" customHeight="1">
      <c r="A33" s="28" t="s">
        <v>23</v>
      </c>
      <c r="B33" s="29"/>
      <c r="C33" s="4">
        <v>1700</v>
      </c>
      <c r="D33" s="5">
        <f>C33*0.75</f>
        <v>1275</v>
      </c>
      <c r="E33" s="24">
        <v>4</v>
      </c>
      <c r="F33" s="20">
        <v>5</v>
      </c>
      <c r="G33" s="20"/>
      <c r="H33" s="13"/>
      <c r="I33" s="13"/>
      <c r="J33" s="16">
        <f t="shared" si="1"/>
        <v>9</v>
      </c>
      <c r="K33" s="47">
        <v>6</v>
      </c>
      <c r="L33" s="47">
        <f t="shared" si="2"/>
        <v>3</v>
      </c>
      <c r="M33" s="47">
        <f t="shared" si="3"/>
        <v>3825</v>
      </c>
    </row>
    <row r="34" spans="1:13" ht="16" customHeight="1">
      <c r="A34" s="28" t="s">
        <v>18</v>
      </c>
      <c r="B34" s="29"/>
      <c r="C34" s="4">
        <v>1700</v>
      </c>
      <c r="D34" s="5">
        <f t="shared" ref="D34:D41" si="10">C34*0.75</f>
        <v>1275</v>
      </c>
      <c r="E34" s="24"/>
      <c r="F34" s="20"/>
      <c r="G34" s="20"/>
      <c r="H34" s="13"/>
      <c r="I34" s="13"/>
      <c r="J34" s="16">
        <f t="shared" si="1"/>
        <v>0</v>
      </c>
      <c r="K34" s="47"/>
      <c r="L34" s="47">
        <f t="shared" si="2"/>
        <v>0</v>
      </c>
      <c r="M34" s="47">
        <f t="shared" si="3"/>
        <v>0</v>
      </c>
    </row>
    <row r="35" spans="1:13" ht="16" customHeight="1">
      <c r="A35" s="28" t="s">
        <v>19</v>
      </c>
      <c r="B35" s="29"/>
      <c r="C35" s="4">
        <v>1700</v>
      </c>
      <c r="D35" s="5">
        <f t="shared" si="10"/>
        <v>1275</v>
      </c>
      <c r="E35" s="24"/>
      <c r="F35" s="20"/>
      <c r="G35" s="20"/>
      <c r="H35" s="13"/>
      <c r="I35" s="13"/>
      <c r="J35" s="16">
        <f t="shared" si="1"/>
        <v>0</v>
      </c>
      <c r="K35" s="47"/>
      <c r="L35" s="47">
        <f t="shared" si="2"/>
        <v>0</v>
      </c>
      <c r="M35" s="47">
        <f t="shared" si="3"/>
        <v>0</v>
      </c>
    </row>
    <row r="36" spans="1:13" ht="16" customHeight="1">
      <c r="A36" s="28" t="s">
        <v>20</v>
      </c>
      <c r="B36" s="29"/>
      <c r="C36" s="4">
        <v>1800</v>
      </c>
      <c r="D36" s="5">
        <f t="shared" si="10"/>
        <v>1350</v>
      </c>
      <c r="E36" s="24">
        <v>4</v>
      </c>
      <c r="F36" s="20"/>
      <c r="G36" s="20"/>
      <c r="H36" s="13"/>
      <c r="I36" s="13"/>
      <c r="J36" s="16">
        <f t="shared" si="1"/>
        <v>4</v>
      </c>
      <c r="K36" s="47">
        <v>4</v>
      </c>
      <c r="L36" s="47">
        <f t="shared" si="2"/>
        <v>0</v>
      </c>
      <c r="M36" s="47">
        <f t="shared" si="3"/>
        <v>0</v>
      </c>
    </row>
    <row r="37" spans="1:13" ht="16" customHeight="1">
      <c r="A37" s="28" t="s">
        <v>2</v>
      </c>
      <c r="B37" s="29"/>
      <c r="C37" s="4">
        <v>1700</v>
      </c>
      <c r="D37" s="5">
        <f t="shared" si="10"/>
        <v>1275</v>
      </c>
      <c r="E37" s="24">
        <v>5</v>
      </c>
      <c r="F37" s="20"/>
      <c r="G37" s="20"/>
      <c r="H37" s="13"/>
      <c r="I37" s="13"/>
      <c r="J37" s="16">
        <f t="shared" si="1"/>
        <v>5</v>
      </c>
      <c r="K37" s="47">
        <v>5</v>
      </c>
      <c r="L37" s="47">
        <f t="shared" si="2"/>
        <v>0</v>
      </c>
      <c r="M37" s="47">
        <f t="shared" si="3"/>
        <v>0</v>
      </c>
    </row>
    <row r="38" spans="1:13" ht="16" customHeight="1">
      <c r="A38" s="28" t="s">
        <v>33</v>
      </c>
      <c r="B38" s="29"/>
      <c r="C38" s="4">
        <v>1700</v>
      </c>
      <c r="D38" s="5">
        <f t="shared" ref="D38" si="11">C38*0.75</f>
        <v>1275</v>
      </c>
      <c r="E38" s="24">
        <v>5</v>
      </c>
      <c r="F38" s="20"/>
      <c r="G38" s="20"/>
      <c r="H38" s="13"/>
      <c r="I38" s="13"/>
      <c r="J38" s="16">
        <f t="shared" si="1"/>
        <v>5</v>
      </c>
      <c r="K38" s="47">
        <v>4</v>
      </c>
      <c r="L38" s="47">
        <f t="shared" si="2"/>
        <v>1</v>
      </c>
      <c r="M38" s="47">
        <f t="shared" si="3"/>
        <v>1275</v>
      </c>
    </row>
    <row r="39" spans="1:13" ht="16" customHeight="1">
      <c r="A39" s="28" t="s">
        <v>40</v>
      </c>
      <c r="B39" s="29"/>
      <c r="C39" s="4">
        <v>1700</v>
      </c>
      <c r="D39" s="5">
        <f t="shared" ref="D39" si="12">C39*0.75</f>
        <v>1275</v>
      </c>
      <c r="E39" s="24">
        <v>3</v>
      </c>
      <c r="F39" s="20"/>
      <c r="G39" s="20"/>
      <c r="H39" s="13"/>
      <c r="I39" s="13"/>
      <c r="J39" s="16">
        <f t="shared" si="1"/>
        <v>3</v>
      </c>
      <c r="K39" s="47">
        <v>2</v>
      </c>
      <c r="L39" s="47">
        <f t="shared" si="2"/>
        <v>1</v>
      </c>
      <c r="M39" s="47">
        <f t="shared" si="3"/>
        <v>1275</v>
      </c>
    </row>
    <row r="40" spans="1:13" ht="16" customHeight="1">
      <c r="A40" s="28" t="s">
        <v>34</v>
      </c>
      <c r="B40" s="29"/>
      <c r="C40" s="4">
        <v>1500</v>
      </c>
      <c r="D40" s="5">
        <f t="shared" si="10"/>
        <v>1125</v>
      </c>
      <c r="E40" s="24">
        <v>3</v>
      </c>
      <c r="F40" s="20">
        <v>10</v>
      </c>
      <c r="G40" s="20"/>
      <c r="H40" s="13"/>
      <c r="I40" s="13"/>
      <c r="J40" s="16">
        <f t="shared" si="1"/>
        <v>13</v>
      </c>
      <c r="K40" s="47">
        <v>9</v>
      </c>
      <c r="L40" s="47">
        <f t="shared" si="2"/>
        <v>4</v>
      </c>
      <c r="M40" s="47">
        <f t="shared" si="3"/>
        <v>4500</v>
      </c>
    </row>
    <row r="41" spans="1:13" ht="16" customHeight="1">
      <c r="A41" s="28" t="s">
        <v>35</v>
      </c>
      <c r="B41" s="29"/>
      <c r="C41" s="4">
        <v>1500</v>
      </c>
      <c r="D41" s="5">
        <f t="shared" si="10"/>
        <v>1125</v>
      </c>
      <c r="E41" s="24">
        <v>9</v>
      </c>
      <c r="F41" s="20"/>
      <c r="G41" s="20">
        <v>10</v>
      </c>
      <c r="H41" s="13"/>
      <c r="I41" s="13"/>
      <c r="J41" s="16">
        <f t="shared" si="1"/>
        <v>19</v>
      </c>
      <c r="K41" s="47">
        <v>10</v>
      </c>
      <c r="L41" s="47">
        <f t="shared" si="2"/>
        <v>9</v>
      </c>
      <c r="M41" s="47">
        <f t="shared" si="3"/>
        <v>10125</v>
      </c>
    </row>
    <row r="42" spans="1:13" ht="16" customHeight="1">
      <c r="A42" s="28" t="s">
        <v>36</v>
      </c>
      <c r="B42" s="29"/>
      <c r="C42" s="4">
        <v>1500</v>
      </c>
      <c r="D42" s="5">
        <f t="shared" ref="D42" si="13">C42*0.75</f>
        <v>1125</v>
      </c>
      <c r="E42" s="24">
        <v>9</v>
      </c>
      <c r="F42" s="20"/>
      <c r="G42" s="20">
        <v>5</v>
      </c>
      <c r="H42" s="13"/>
      <c r="I42" s="13"/>
      <c r="J42" s="16">
        <f t="shared" si="1"/>
        <v>14</v>
      </c>
      <c r="K42" s="47">
        <v>8</v>
      </c>
      <c r="L42" s="47">
        <f t="shared" si="2"/>
        <v>6</v>
      </c>
      <c r="M42" s="47">
        <f t="shared" si="3"/>
        <v>6750</v>
      </c>
    </row>
    <row r="43" spans="1:13" ht="24" customHeight="1">
      <c r="A43" s="28"/>
      <c r="B43" s="29"/>
      <c r="C43" s="4"/>
      <c r="D43" s="15" t="s">
        <v>4</v>
      </c>
      <c r="E43" s="4">
        <f>SUM(E5:E42)</f>
        <v>225</v>
      </c>
      <c r="F43" s="4">
        <f>SUM(F5:F42)</f>
        <v>84</v>
      </c>
      <c r="G43" s="4">
        <f t="shared" ref="G43:M43" si="14">SUM(G5:G42)</f>
        <v>22</v>
      </c>
      <c r="H43" s="4">
        <f t="shared" si="14"/>
        <v>0</v>
      </c>
      <c r="I43" s="4">
        <f t="shared" si="14"/>
        <v>0</v>
      </c>
      <c r="J43" s="4">
        <f t="shared" si="14"/>
        <v>331</v>
      </c>
      <c r="K43" s="48">
        <f>SUM(K5:K42)</f>
        <v>236</v>
      </c>
      <c r="L43" s="48">
        <f t="shared" si="14"/>
        <v>95</v>
      </c>
      <c r="M43" s="48">
        <f t="shared" si="14"/>
        <v>203475</v>
      </c>
    </row>
    <row r="44" spans="1:13" ht="3" customHeight="1">
      <c r="K44" s="26"/>
      <c r="L44" s="26"/>
      <c r="M44" s="26"/>
    </row>
    <row r="45" spans="1:13">
      <c r="A45" s="40" t="s">
        <v>43</v>
      </c>
      <c r="B45" s="41"/>
      <c r="C45" s="42"/>
      <c r="D45" s="42"/>
      <c r="E45" s="42"/>
      <c r="F45" s="42"/>
      <c r="G45" s="42"/>
      <c r="H45" s="42"/>
      <c r="I45" s="41"/>
      <c r="J45" s="42"/>
      <c r="K45" s="42"/>
      <c r="L45" s="42"/>
      <c r="M45" s="42"/>
    </row>
    <row r="46" spans="1:13">
      <c r="A46" s="42"/>
      <c r="B46" s="41"/>
      <c r="C46" s="42"/>
      <c r="D46" s="42"/>
      <c r="E46" s="42"/>
      <c r="F46" s="42"/>
      <c r="G46" s="42"/>
      <c r="H46" s="42"/>
      <c r="I46" s="41"/>
      <c r="J46" s="42"/>
      <c r="K46" s="42"/>
      <c r="L46" s="42"/>
      <c r="M46" s="42"/>
    </row>
    <row r="47" spans="1:13">
      <c r="A47" s="42"/>
      <c r="B47" s="41"/>
      <c r="C47" s="42"/>
      <c r="D47" s="42"/>
      <c r="E47" s="42"/>
      <c r="F47" s="42"/>
      <c r="G47" s="42"/>
      <c r="H47" s="42"/>
      <c r="I47" s="41"/>
      <c r="J47" s="42"/>
      <c r="K47" s="42"/>
      <c r="L47" s="42"/>
      <c r="M47" s="42"/>
    </row>
    <row r="48" spans="1:13" hidden="1">
      <c r="A48" s="42"/>
      <c r="B48" s="41"/>
      <c r="C48" s="42"/>
      <c r="D48" s="42"/>
      <c r="E48" s="42"/>
      <c r="F48" s="42"/>
      <c r="G48" s="42"/>
      <c r="H48" s="42"/>
      <c r="I48" s="41"/>
      <c r="J48" s="42"/>
      <c r="K48" s="42"/>
      <c r="L48" s="42"/>
      <c r="M48" s="42"/>
    </row>
    <row r="49" spans="1:13" hidden="1">
      <c r="A49" s="42"/>
      <c r="B49" s="41"/>
      <c r="C49" s="42"/>
      <c r="D49" s="42"/>
      <c r="E49" s="42"/>
      <c r="F49" s="42"/>
      <c r="G49" s="42"/>
      <c r="H49" s="42"/>
      <c r="I49" s="41"/>
      <c r="J49" s="42"/>
      <c r="K49" s="42"/>
      <c r="L49" s="42"/>
      <c r="M49" s="42"/>
    </row>
    <row r="50" spans="1:13" hidden="1">
      <c r="A50" s="42"/>
      <c r="B50" s="41"/>
      <c r="C50" s="42"/>
      <c r="D50" s="42"/>
      <c r="E50" s="42"/>
      <c r="F50" s="42"/>
      <c r="G50" s="42"/>
      <c r="H50" s="42"/>
      <c r="I50" s="41"/>
      <c r="J50" s="42"/>
      <c r="K50" s="42"/>
      <c r="L50" s="42"/>
      <c r="M50" s="42"/>
    </row>
  </sheetData>
  <mergeCells count="33">
    <mergeCell ref="A41:B41"/>
    <mergeCell ref="A22:A23"/>
    <mergeCell ref="A24:A25"/>
    <mergeCell ref="A38:B38"/>
    <mergeCell ref="A39:B39"/>
    <mergeCell ref="A45:M50"/>
    <mergeCell ref="M3:M4"/>
    <mergeCell ref="A5:A8"/>
    <mergeCell ref="E3:E4"/>
    <mergeCell ref="F3:I3"/>
    <mergeCell ref="J3:J4"/>
    <mergeCell ref="K3:K4"/>
    <mergeCell ref="L3:L4"/>
    <mergeCell ref="A43:B43"/>
    <mergeCell ref="A33:B33"/>
    <mergeCell ref="A37:B37"/>
    <mergeCell ref="A40:B40"/>
    <mergeCell ref="A29:A32"/>
    <mergeCell ref="A34:B34"/>
    <mergeCell ref="A20:A21"/>
    <mergeCell ref="A42:B42"/>
    <mergeCell ref="F1:M1"/>
    <mergeCell ref="A36:B36"/>
    <mergeCell ref="A35:B35"/>
    <mergeCell ref="A1:D1"/>
    <mergeCell ref="A3:A4"/>
    <mergeCell ref="B3:B4"/>
    <mergeCell ref="C3:C4"/>
    <mergeCell ref="D3:D4"/>
    <mergeCell ref="A13:A14"/>
    <mergeCell ref="A9:A12"/>
    <mergeCell ref="A15:A18"/>
    <mergeCell ref="A26:A28"/>
  </mergeCells>
  <phoneticPr fontId="2"/>
  <pageMargins left="0.5" right="0.38976377952755908" top="0.6889763779527559" bottom="0.83858267716535428" header="0.3582677165354331" footer="0.51181102362204722"/>
  <pageSetup paperSize="10" scale="98" orientation="portrait" horizontalDpi="4294967292" verticalDpi="4294967292"/>
  <headerFooter>
    <oddHeader>&amp;LFax.0238-62-3721&amp;C委託販売納品書</oddHeader>
    <oddFooter>&amp;Rサンタ・クリエイト</oddFoot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T0.7_P0.7.5</vt:lpstr>
    </vt:vector>
  </TitlesOfParts>
  <Company>サンタクリエイトシステム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努</dc:creator>
  <cp:lastModifiedBy>サンタ山田</cp:lastModifiedBy>
  <cp:lastPrinted>2026-05-11T01:54:58Z</cp:lastPrinted>
  <dcterms:created xsi:type="dcterms:W3CDTF">2018-04-30T04:22:05Z</dcterms:created>
  <dcterms:modified xsi:type="dcterms:W3CDTF">2026-06-04T07:47:38Z</dcterms:modified>
</cp:coreProperties>
</file>