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ate1904="1" showInkAnnotation="0" checkCompatibility="1" autoCompressPictures="0"/>
  <mc:AlternateContent xmlns:mc="http://schemas.openxmlformats.org/markup-compatibility/2006">
    <mc:Choice Requires="x15">
      <x15ac:absPath xmlns:x15ac="http://schemas.microsoft.com/office/spreadsheetml/2010/11/ac" url="/Users/tsutomuyamada/Library/CloudStorage/Dropbox/着る山菜関係/売店納品表/大厳寺キャンプ場/2026/"/>
    </mc:Choice>
  </mc:AlternateContent>
  <xr:revisionPtr revIDLastSave="0" documentId="13_ncr:1_{DF883AA9-CCFF-264A-B1E0-44B2D643802A}" xr6:coauthVersionLast="47" xr6:coauthVersionMax="47" xr10:uidLastSave="{00000000-0000-0000-0000-000000000000}"/>
  <bookViews>
    <workbookView xWindow="17100" yWindow="500" windowWidth="26800" windowHeight="26960" tabRatio="500" xr2:uid="{00000000-000D-0000-FFFF-FFFF00000000}"/>
  </bookViews>
  <sheets>
    <sheet name="T0.75_P0.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D5" i="1" l="1"/>
  <c r="J21" i="1"/>
  <c r="L21" i="1" s="1"/>
  <c r="M21" i="1" s="1"/>
  <c r="D21" i="1"/>
  <c r="J37" i="1"/>
  <c r="L37" i="1" s="1"/>
  <c r="D37" i="1"/>
  <c r="D22" i="1"/>
  <c r="J19" i="1"/>
  <c r="J20" i="1"/>
  <c r="L20" i="1" s="1"/>
  <c r="M20" i="1" s="1"/>
  <c r="J22" i="1"/>
  <c r="J23" i="1"/>
  <c r="J24" i="1"/>
  <c r="J25" i="1"/>
  <c r="J26" i="1"/>
  <c r="J27" i="1"/>
  <c r="J28" i="1"/>
  <c r="D20" i="1"/>
  <c r="K49" i="1"/>
  <c r="J29" i="1"/>
  <c r="J30" i="1"/>
  <c r="L30" i="1" s="1"/>
  <c r="D30" i="1"/>
  <c r="D43" i="1"/>
  <c r="J43" i="1"/>
  <c r="L43" i="1" s="1"/>
  <c r="M37" i="1" l="1"/>
  <c r="M30" i="1"/>
  <c r="M43" i="1"/>
  <c r="F49" i="1"/>
  <c r="J42" i="1"/>
  <c r="L42" i="1" s="1"/>
  <c r="L22" i="1"/>
  <c r="L23" i="1"/>
  <c r="L24" i="1"/>
  <c r="D42" i="1"/>
  <c r="D23" i="1"/>
  <c r="D24" i="1"/>
  <c r="J41" i="1"/>
  <c r="L41" i="1" s="1"/>
  <c r="D41" i="1"/>
  <c r="J36" i="1"/>
  <c r="L36" i="1" s="1"/>
  <c r="D36" i="1"/>
  <c r="J45" i="1"/>
  <c r="L45" i="1" s="1"/>
  <c r="M45" i="1" s="1"/>
  <c r="D45" i="1"/>
  <c r="J48" i="1"/>
  <c r="L48" i="1" s="1"/>
  <c r="M48" i="1" s="1"/>
  <c r="D48" i="1"/>
  <c r="G49" i="1"/>
  <c r="H49" i="1"/>
  <c r="I49" i="1"/>
  <c r="E49" i="1"/>
  <c r="L25" i="1"/>
  <c r="L26" i="1"/>
  <c r="L27" i="1"/>
  <c r="L28" i="1"/>
  <c r="L29" i="1"/>
  <c r="J31" i="1"/>
  <c r="L31" i="1" s="1"/>
  <c r="J32" i="1"/>
  <c r="L32" i="1" s="1"/>
  <c r="J33" i="1"/>
  <c r="L33" i="1" s="1"/>
  <c r="J34" i="1"/>
  <c r="L34" i="1" s="1"/>
  <c r="J35" i="1"/>
  <c r="L35" i="1" s="1"/>
  <c r="J38" i="1"/>
  <c r="L38" i="1" s="1"/>
  <c r="J39" i="1"/>
  <c r="L39" i="1" s="1"/>
  <c r="J40" i="1"/>
  <c r="L40" i="1" s="1"/>
  <c r="J44" i="1"/>
  <c r="L44" i="1" s="1"/>
  <c r="J46" i="1"/>
  <c r="L46" i="1" s="1"/>
  <c r="M46" i="1" s="1"/>
  <c r="J47" i="1"/>
  <c r="L47" i="1" s="1"/>
  <c r="M47" i="1" s="1"/>
  <c r="D40" i="1"/>
  <c r="J18" i="1"/>
  <c r="L18" i="1" s="1"/>
  <c r="D18" i="1"/>
  <c r="D34" i="1"/>
  <c r="D26" i="1"/>
  <c r="D25" i="1"/>
  <c r="D28" i="1"/>
  <c r="D29" i="1"/>
  <c r="J16" i="1"/>
  <c r="L16" i="1" s="1"/>
  <c r="D16" i="1"/>
  <c r="D27" i="1"/>
  <c r="D46" i="1"/>
  <c r="D47" i="1"/>
  <c r="D33" i="1"/>
  <c r="J17" i="1"/>
  <c r="L17" i="1" s="1"/>
  <c r="L19" i="1"/>
  <c r="D39" i="1"/>
  <c r="D38" i="1"/>
  <c r="D17" i="1"/>
  <c r="D19" i="1"/>
  <c r="J6" i="1"/>
  <c r="L6" i="1" s="1"/>
  <c r="J7" i="1"/>
  <c r="L7" i="1" s="1"/>
  <c r="J8" i="1"/>
  <c r="L8" i="1" s="1"/>
  <c r="J9" i="1"/>
  <c r="L9" i="1" s="1"/>
  <c r="J10" i="1"/>
  <c r="L10" i="1" s="1"/>
  <c r="J11" i="1"/>
  <c r="L11" i="1" s="1"/>
  <c r="J12" i="1"/>
  <c r="L12" i="1" s="1"/>
  <c r="J13" i="1"/>
  <c r="L13" i="1" s="1"/>
  <c r="J14" i="1"/>
  <c r="L14" i="1" s="1"/>
  <c r="J15" i="1"/>
  <c r="L15" i="1" s="1"/>
  <c r="J5" i="1"/>
  <c r="L5" i="1" s="1"/>
  <c r="D6" i="1"/>
  <c r="D7" i="1"/>
  <c r="D8" i="1"/>
  <c r="D9" i="1"/>
  <c r="D10" i="1"/>
  <c r="D11" i="1"/>
  <c r="D12" i="1"/>
  <c r="D13" i="1"/>
  <c r="D14" i="1"/>
  <c r="D15" i="1"/>
  <c r="D31" i="1"/>
  <c r="D32" i="1"/>
  <c r="D35" i="1"/>
  <c r="D44" i="1"/>
  <c r="L49" i="1" l="1"/>
  <c r="M27" i="1"/>
  <c r="M19" i="1"/>
  <c r="M44" i="1"/>
  <c r="M17" i="1"/>
  <c r="M40" i="1"/>
  <c r="M16" i="1"/>
  <c r="M41" i="1"/>
  <c r="M13" i="1"/>
  <c r="M31" i="1"/>
  <c r="M12" i="1"/>
  <c r="M29" i="1"/>
  <c r="M9" i="1"/>
  <c r="M39" i="1"/>
  <c r="M8" i="1"/>
  <c r="M38" i="1"/>
  <c r="M7" i="1"/>
  <c r="M26" i="1"/>
  <c r="M18" i="1"/>
  <c r="M34" i="1"/>
  <c r="M25" i="1"/>
  <c r="M22" i="1"/>
  <c r="M11" i="1"/>
  <c r="M10" i="1"/>
  <c r="M35" i="1"/>
  <c r="M23" i="1"/>
  <c r="M6" i="1"/>
  <c r="M15" i="1"/>
  <c r="M33" i="1"/>
  <c r="M36" i="1"/>
  <c r="M42" i="1"/>
  <c r="M28" i="1"/>
  <c r="M24" i="1"/>
  <c r="M5" i="1"/>
  <c r="M14" i="1"/>
  <c r="M32" i="1"/>
  <c r="J49" i="1"/>
  <c r="M49" i="1" l="1"/>
</calcChain>
</file>

<file path=xl/sharedStrings.xml><?xml version="1.0" encoding="utf-8"?>
<sst xmlns="http://schemas.openxmlformats.org/spreadsheetml/2006/main" count="70" uniqueCount="55">
  <si>
    <t>山菜図鑑
Tシャツ</t>
    <rPh sb="2" eb="4">
      <t>ズカン</t>
    </rPh>
    <phoneticPr fontId="2"/>
  </si>
  <si>
    <t>ふきのとう
Tシャツ</t>
    <phoneticPr fontId="2"/>
  </si>
  <si>
    <t>山菜図鑑 手ぬぐい</t>
    <rPh sb="0" eb="2">
      <t>サンサイ</t>
    </rPh>
    <rPh sb="2" eb="4">
      <t>ズカン</t>
    </rPh>
    <rPh sb="5" eb="6">
      <t>テ</t>
    </rPh>
    <phoneticPr fontId="2"/>
  </si>
  <si>
    <t>こごめ 手ぬぐい</t>
    <rPh sb="4" eb="5">
      <t>テ</t>
    </rPh>
    <phoneticPr fontId="2"/>
  </si>
  <si>
    <t>山菜図鑑トートバッグ</t>
    <rPh sb="0" eb="2">
      <t>サンサイ</t>
    </rPh>
    <rPh sb="2" eb="4">
      <t>ズカン</t>
    </rPh>
    <phoneticPr fontId="2"/>
  </si>
  <si>
    <t>こごめトートバッグ</t>
    <phoneticPr fontId="2"/>
  </si>
  <si>
    <t>こごめ
Tシャツ</t>
    <phoneticPr fontId="2"/>
  </si>
  <si>
    <t>合計</t>
    <rPh sb="0" eb="2">
      <t>ゴウケイ</t>
    </rPh>
    <phoneticPr fontId="2"/>
  </si>
  <si>
    <t>下代
（税込）</t>
    <rPh sb="0" eb="2">
      <t>ゲダイ</t>
    </rPh>
    <rPh sb="4" eb="6">
      <t>ゼイコ</t>
    </rPh>
    <phoneticPr fontId="2"/>
  </si>
  <si>
    <t>期間内
納品計</t>
    <rPh sb="0" eb="3">
      <t>キカンナイ</t>
    </rPh>
    <rPh sb="4" eb="6">
      <t>ノウヒン</t>
    </rPh>
    <rPh sb="6" eb="7">
      <t>ケイ</t>
    </rPh>
    <phoneticPr fontId="2"/>
  </si>
  <si>
    <t>期首
在庫数</t>
    <rPh sb="0" eb="2">
      <t>キシュ</t>
    </rPh>
    <rPh sb="3" eb="5">
      <t>ザイコ</t>
    </rPh>
    <rPh sb="5" eb="6">
      <t>スウ</t>
    </rPh>
    <phoneticPr fontId="2"/>
  </si>
  <si>
    <t>上代
（税込）</t>
    <rPh sb="0" eb="2">
      <t>ジョウダイ</t>
    </rPh>
    <rPh sb="4" eb="6">
      <t>ゼイコ</t>
    </rPh>
    <phoneticPr fontId="2"/>
  </si>
  <si>
    <t>期末
在庫数</t>
    <rPh sb="0" eb="6">
      <t>キマツザイコスウ</t>
    </rPh>
    <phoneticPr fontId="2"/>
  </si>
  <si>
    <t>売上
点数</t>
    <rPh sb="0" eb="1">
      <t>ウ</t>
    </rPh>
    <rPh sb="1" eb="2">
      <t>ア</t>
    </rPh>
    <rPh sb="3" eb="5">
      <t>テンスウ</t>
    </rPh>
    <phoneticPr fontId="2"/>
  </si>
  <si>
    <t>売上額</t>
    <rPh sb="0" eb="3">
      <t>ウリアゲガク</t>
    </rPh>
    <phoneticPr fontId="2"/>
  </si>
  <si>
    <t>品名</t>
    <rPh sb="0" eb="2">
      <t>ヒンメイ</t>
    </rPh>
    <phoneticPr fontId="2"/>
  </si>
  <si>
    <t>白</t>
    <rPh sb="0" eb="1">
      <t>シロ</t>
    </rPh>
    <phoneticPr fontId="2"/>
  </si>
  <si>
    <t>黒</t>
    <rPh sb="0" eb="1">
      <t>クロ</t>
    </rPh>
    <phoneticPr fontId="2"/>
  </si>
  <si>
    <t>うどTシャツ</t>
    <phoneticPr fontId="2"/>
  </si>
  <si>
    <t>カーキ</t>
    <phoneticPr fontId="2"/>
  </si>
  <si>
    <t>山菜図鑑トートバッグ ネイビー</t>
    <rPh sb="0" eb="2">
      <t>サンサイ</t>
    </rPh>
    <rPh sb="2" eb="4">
      <t>ズカン</t>
    </rPh>
    <phoneticPr fontId="2"/>
  </si>
  <si>
    <t>みょうがTシャツ</t>
    <phoneticPr fontId="2"/>
  </si>
  <si>
    <t>サンドベージュ</t>
    <phoneticPr fontId="2"/>
  </si>
  <si>
    <t>ダスティピンク</t>
    <phoneticPr fontId="2"/>
  </si>
  <si>
    <t>山菜図鑑トートバッグ ミニ</t>
    <phoneticPr fontId="2"/>
  </si>
  <si>
    <t>こごめトートバッグ　ミニ</t>
    <phoneticPr fontId="2"/>
  </si>
  <si>
    <t>アッシュ</t>
    <phoneticPr fontId="2"/>
  </si>
  <si>
    <t>インディゴ</t>
    <phoneticPr fontId="2"/>
  </si>
  <si>
    <t>黒</t>
    <rPh sb="0" eb="1">
      <t xml:space="preserve">クロ </t>
    </rPh>
    <phoneticPr fontId="2"/>
  </si>
  <si>
    <t>こごめサコッシュ</t>
    <phoneticPr fontId="2"/>
  </si>
  <si>
    <t>ふきのとうサコッシュ</t>
    <phoneticPr fontId="2"/>
  </si>
  <si>
    <t>山菜図鑑トートバッグ グリーン</t>
    <rPh sb="0" eb="2">
      <t>サンサイ</t>
    </rPh>
    <rPh sb="2" eb="4">
      <t>ズカン</t>
    </rPh>
    <phoneticPr fontId="2"/>
  </si>
  <si>
    <t>こごめ
パーカー</t>
    <phoneticPr fontId="2"/>
  </si>
  <si>
    <t>オリーブ</t>
    <phoneticPr fontId="2"/>
  </si>
  <si>
    <t>山菜図鑑
パーカー</t>
    <rPh sb="0" eb="4">
      <t xml:space="preserve">サンサイズカン </t>
    </rPh>
    <phoneticPr fontId="2"/>
  </si>
  <si>
    <t>白</t>
    <rPh sb="0" eb="1">
      <t xml:space="preserve">シロ </t>
    </rPh>
    <phoneticPr fontId="2"/>
  </si>
  <si>
    <t>山菜図鑑トートバッグ カーキL</t>
    <rPh sb="0" eb="2">
      <t>サンサイ</t>
    </rPh>
    <rPh sb="2" eb="4">
      <t>ズカン</t>
    </rPh>
    <phoneticPr fontId="2"/>
  </si>
  <si>
    <t>みょうがトートバッグ　ミニ</t>
    <phoneticPr fontId="2"/>
  </si>
  <si>
    <t>みょうがサコッシュ</t>
    <phoneticPr fontId="2"/>
  </si>
  <si>
    <t>みょうが 手ぬぐい</t>
    <rPh sb="5" eb="6">
      <t>テ</t>
    </rPh>
    <phoneticPr fontId="2"/>
  </si>
  <si>
    <t>みょうがトートバッグ</t>
    <phoneticPr fontId="2"/>
  </si>
  <si>
    <t>うどトートバッグ　ミニ</t>
    <phoneticPr fontId="2"/>
  </si>
  <si>
    <t>森のなめこ
Tシャツ</t>
    <rPh sb="0" eb="1">
      <t xml:space="preserve">モリノ </t>
    </rPh>
    <phoneticPr fontId="2"/>
  </si>
  <si>
    <t>森のなめこランチトート</t>
    <phoneticPr fontId="2"/>
  </si>
  <si>
    <t>グリーン</t>
    <phoneticPr fontId="2"/>
  </si>
  <si>
    <t>期間内納品数</t>
    <phoneticPr fontId="2"/>
  </si>
  <si>
    <t>野草Tシャツ</t>
    <rPh sb="0" eb="2">
      <t xml:space="preserve">ヤソウ </t>
    </rPh>
    <phoneticPr fontId="2"/>
  </si>
  <si>
    <t>野草トートバッグ</t>
    <rPh sb="0" eb="2">
      <t xml:space="preserve">ヤソウ </t>
    </rPh>
    <phoneticPr fontId="2"/>
  </si>
  <si>
    <t>田んぼの生きものTシャツ</t>
    <rPh sb="0" eb="1">
      <t xml:space="preserve">タンボノ </t>
    </rPh>
    <rPh sb="4" eb="5">
      <t xml:space="preserve">イキモノ </t>
    </rPh>
    <phoneticPr fontId="2"/>
  </si>
  <si>
    <t>大厳寺高原キャンプ場     　様</t>
    <rPh sb="0" eb="1">
      <t>ダイ</t>
    </rPh>
    <rPh sb="3" eb="5">
      <t xml:space="preserve">コウゲン </t>
    </rPh>
    <phoneticPr fontId="2"/>
  </si>
  <si>
    <t>サンタ・クリエイト</t>
    <phoneticPr fontId="2"/>
  </si>
  <si>
    <t>※2026.4月より価格が改定されました。</t>
    <rPh sb="7" eb="8">
      <t xml:space="preserve">ガツヨリ </t>
    </rPh>
    <rPh sb="10" eb="12">
      <t xml:space="preserve">カカクガ </t>
    </rPh>
    <rPh sb="13" eb="15">
      <t xml:space="preserve">カイテイサレマシタ。 </t>
    </rPh>
    <phoneticPr fontId="2"/>
  </si>
  <si>
    <t>FAX.025-596-3130</t>
    <phoneticPr fontId="2"/>
  </si>
  <si>
    <t>期首日：2026.06.01〜　期末日（締め日）：2026.06.30</t>
    <phoneticPr fontId="2"/>
  </si>
  <si>
    <t>6/11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</si>
</sst>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);[Red]\(#,##0\)"/>
    <numFmt numFmtId="177" formatCode="#"/>
    <numFmt numFmtId="178" formatCode="0_ "/>
    <numFmt numFmtId="179" formatCode=";;;"/>
  </numFmts>
  <fonts count="7">
    <font>
      <sz val="11"/>
      <name val="ＭＳ Ｐゴシック"/>
      <charset val="128"/>
    </font>
    <font>
      <sz val="11"/>
      <name val="ＭＳ Ｐゴシック"/>
      <family val="2"/>
      <charset val="128"/>
    </font>
    <font>
      <sz val="6"/>
      <name val="ＭＳ Ｐゴシック"/>
      <family val="2"/>
      <charset val="128"/>
    </font>
    <font>
      <sz val="10"/>
      <name val="ＭＳ Ｐゴシック"/>
      <family val="3"/>
      <charset val="128"/>
    </font>
    <font>
      <sz val="14"/>
      <name val="ＭＳ Ｐゴシック"/>
      <family val="3"/>
      <charset val="128"/>
    </font>
    <font>
      <sz val="9"/>
      <name val="ＭＳ Ｐゴシック"/>
      <family val="2"/>
      <charset val="128"/>
    </font>
    <font>
      <sz val="10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176" fontId="3" fillId="0" borderId="0" xfId="0" applyNumberFormat="1" applyFont="1" applyAlignment="1">
      <alignment horizontal="right" vertical="center"/>
    </xf>
    <xf numFmtId="176" fontId="3" fillId="0" borderId="0" xfId="0" applyNumberFormat="1" applyFont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3" fillId="0" borderId="0" xfId="0" applyNumberFormat="1" applyFont="1" applyAlignment="1">
      <alignment vertical="center"/>
    </xf>
    <xf numFmtId="176" fontId="3" fillId="0" borderId="1" xfId="0" applyNumberFormat="1" applyFont="1" applyBorder="1" applyAlignment="1">
      <alignment vertical="center"/>
    </xf>
    <xf numFmtId="176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4" fillId="0" borderId="0" xfId="0" applyNumberFormat="1" applyFont="1"/>
    <xf numFmtId="177" fontId="3" fillId="0" borderId="1" xfId="0" applyNumberFormat="1" applyFont="1" applyBorder="1" applyAlignment="1">
      <alignment horizontal="right" vertical="center"/>
    </xf>
    <xf numFmtId="176" fontId="5" fillId="0" borderId="0" xfId="0" applyNumberFormat="1" applyFont="1" applyAlignment="1">
      <alignment horizontal="left" vertical="center"/>
    </xf>
    <xf numFmtId="178" fontId="3" fillId="0" borderId="1" xfId="0" applyNumberFormat="1" applyFont="1" applyBorder="1" applyAlignment="1">
      <alignment horizontal="right" vertical="center"/>
    </xf>
    <xf numFmtId="178" fontId="0" fillId="0" borderId="1" xfId="0" applyNumberFormat="1" applyBorder="1" applyAlignment="1">
      <alignment horizontal="right" vertical="center"/>
    </xf>
    <xf numFmtId="49" fontId="3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176" fontId="3" fillId="0" borderId="6" xfId="0" applyNumberFormat="1" applyFont="1" applyBorder="1" applyAlignment="1">
      <alignment vertical="center"/>
    </xf>
    <xf numFmtId="0" fontId="0" fillId="0" borderId="7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76" fontId="1" fillId="0" borderId="0" xfId="0" applyNumberFormat="1" applyFont="1" applyAlignment="1">
      <alignment horizontal="left" vertical="center"/>
    </xf>
    <xf numFmtId="178" fontId="1" fillId="0" borderId="1" xfId="0" applyNumberFormat="1" applyFont="1" applyBorder="1" applyAlignment="1">
      <alignment horizontal="right" vertical="center"/>
    </xf>
    <xf numFmtId="49" fontId="6" fillId="0" borderId="1" xfId="0" applyNumberFormat="1" applyFont="1" applyBorder="1" applyAlignment="1">
      <alignment horizontal="right" vertical="center"/>
    </xf>
    <xf numFmtId="0" fontId="0" fillId="0" borderId="1" xfId="0" applyBorder="1"/>
    <xf numFmtId="49" fontId="3" fillId="0" borderId="1" xfId="0" applyNumberFormat="1" applyFont="1" applyBorder="1" applyAlignment="1">
      <alignment horizontal="center" vertical="center" textRotation="255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3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/>
    </xf>
    <xf numFmtId="176" fontId="3" fillId="0" borderId="1" xfId="0" applyNumberFormat="1" applyFont="1" applyBorder="1" applyAlignment="1">
      <alignment horizontal="right"/>
    </xf>
    <xf numFmtId="178" fontId="1" fillId="0" borderId="1" xfId="0" applyNumberFormat="1" applyFont="1" applyBorder="1" applyAlignment="1">
      <alignment horizontal="right"/>
    </xf>
    <xf numFmtId="49" fontId="3" fillId="0" borderId="1" xfId="0" applyNumberFormat="1" applyFont="1" applyBorder="1" applyAlignment="1">
      <alignment horizontal="center" textRotation="255"/>
    </xf>
    <xf numFmtId="178" fontId="3" fillId="0" borderId="1" xfId="0" applyNumberFormat="1" applyFont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6" fontId="3" fillId="0" borderId="0" xfId="0" applyNumberFormat="1" applyFont="1"/>
    <xf numFmtId="179" fontId="1" fillId="0" borderId="1" xfId="0" applyNumberFormat="1" applyFont="1" applyBorder="1"/>
    <xf numFmtId="179" fontId="0" fillId="0" borderId="1" xfId="0" applyNumberFormat="1" applyBorder="1"/>
    <xf numFmtId="179" fontId="3" fillId="0" borderId="1" xfId="0" applyNumberFormat="1" applyFont="1" applyBorder="1" applyAlignment="1">
      <alignment vertical="center"/>
    </xf>
    <xf numFmtId="176" fontId="1" fillId="0" borderId="5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176" fontId="3" fillId="0" borderId="6" xfId="0" applyNumberFormat="1" applyFont="1" applyBorder="1" applyAlignment="1">
      <alignment vertical="center"/>
    </xf>
    <xf numFmtId="0" fontId="0" fillId="0" borderId="7" xfId="0" applyBorder="1" applyAlignment="1">
      <alignment vertical="center"/>
    </xf>
    <xf numFmtId="176" fontId="4" fillId="0" borderId="3" xfId="0" applyNumberFormat="1" applyFont="1" applyBorder="1" applyAlignment="1">
      <alignment horizontal="right" vertical="center"/>
    </xf>
    <xf numFmtId="176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 wrapText="1"/>
    </xf>
    <xf numFmtId="176" fontId="3" fillId="0" borderId="6" xfId="0" applyNumberFormat="1" applyFont="1" applyBorder="1" applyAlignment="1">
      <alignment horizontal="left" vertical="center"/>
    </xf>
    <xf numFmtId="176" fontId="3" fillId="0" borderId="7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6" fontId="3" fillId="0" borderId="7" xfId="0" applyNumberFormat="1" applyFont="1" applyBorder="1" applyAlignment="1">
      <alignment vertical="center"/>
    </xf>
    <xf numFmtId="176" fontId="3" fillId="0" borderId="1" xfId="0" applyNumberFormat="1" applyFont="1" applyBorder="1" applyAlignment="1">
      <alignment horizontal="center" vertical="center"/>
    </xf>
    <xf numFmtId="176" fontId="3" fillId="0" borderId="6" xfId="0" applyNumberFormat="1" applyFont="1" applyBorder="1" applyAlignment="1">
      <alignment horizontal="center" vertical="center"/>
    </xf>
    <xf numFmtId="176" fontId="3" fillId="0" borderId="8" xfId="0" applyNumberFormat="1" applyFont="1" applyBorder="1" applyAlignment="1">
      <alignment horizontal="center" vertical="center"/>
    </xf>
    <xf numFmtId="176" fontId="3" fillId="0" borderId="7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tabSelected="1" view="pageLayout" topLeftCell="A5" zoomScale="147" zoomScalePageLayoutView="147" workbookViewId="0">
      <selection activeCell="F34" sqref="F34"/>
    </sheetView>
  </sheetViews>
  <sheetFormatPr baseColWidth="10" defaultColWidth="8" defaultRowHeight="14"/>
  <cols>
    <col min="1" max="1" width="12" style="4" customWidth="1"/>
    <col min="2" max="2" width="12.33203125" style="2" customWidth="1"/>
    <col min="3" max="3" width="6.1640625" style="4" customWidth="1"/>
    <col min="4" max="4" width="5.83203125" style="4" customWidth="1"/>
    <col min="5" max="5" width="6" style="4" customWidth="1"/>
    <col min="6" max="6" width="5" style="1" customWidth="1"/>
    <col min="7" max="8" width="5" style="4" customWidth="1"/>
    <col min="9" max="9" width="5" style="2" customWidth="1"/>
    <col min="10" max="11" width="6" style="4" customWidth="1"/>
    <col min="12" max="12" width="4.6640625" style="4" customWidth="1"/>
    <col min="13" max="13" width="8.83203125" style="4" customWidth="1"/>
    <col min="14" max="16384" width="8" style="4"/>
  </cols>
  <sheetData>
    <row r="1" spans="1:13" ht="25" customHeight="1" thickBot="1">
      <c r="A1" s="48" t="s">
        <v>49</v>
      </c>
      <c r="B1" s="48"/>
      <c r="C1" s="48"/>
      <c r="D1" s="48"/>
      <c r="E1" s="1"/>
      <c r="F1" s="23" t="s">
        <v>53</v>
      </c>
      <c r="G1" s="7"/>
      <c r="H1" s="7"/>
      <c r="I1" s="7"/>
      <c r="J1" s="7"/>
    </row>
    <row r="2" spans="1:13" ht="14" customHeight="1">
      <c r="A2" s="11"/>
      <c r="B2" s="13" t="s">
        <v>52</v>
      </c>
    </row>
    <row r="3" spans="1:13" s="2" customFormat="1" ht="15" customHeight="1">
      <c r="A3" s="49" t="s">
        <v>15</v>
      </c>
      <c r="B3" s="51"/>
      <c r="C3" s="49" t="s">
        <v>11</v>
      </c>
      <c r="D3" s="49" t="s">
        <v>8</v>
      </c>
      <c r="E3" s="49" t="s">
        <v>10</v>
      </c>
      <c r="F3" s="60" t="s">
        <v>45</v>
      </c>
      <c r="G3" s="61"/>
      <c r="H3" s="61"/>
      <c r="I3" s="62"/>
      <c r="J3" s="49" t="s">
        <v>9</v>
      </c>
      <c r="K3" s="49" t="s">
        <v>12</v>
      </c>
      <c r="L3" s="49" t="s">
        <v>13</v>
      </c>
      <c r="M3" s="59" t="s">
        <v>14</v>
      </c>
    </row>
    <row r="4" spans="1:13" s="2" customFormat="1" ht="14" customHeight="1">
      <c r="A4" s="50"/>
      <c r="B4" s="43"/>
      <c r="C4" s="50"/>
      <c r="D4" s="50"/>
      <c r="E4" s="50"/>
      <c r="F4" s="25" t="s">
        <v>54</v>
      </c>
      <c r="G4" s="16"/>
      <c r="H4" s="16"/>
      <c r="I4" s="16"/>
      <c r="J4" s="50"/>
      <c r="K4" s="59"/>
      <c r="L4" s="59"/>
      <c r="M4" s="59"/>
    </row>
    <row r="5" spans="1:13" s="2" customFormat="1" ht="14" customHeight="1">
      <c r="A5" s="41" t="s">
        <v>0</v>
      </c>
      <c r="B5" s="8" t="s">
        <v>16</v>
      </c>
      <c r="C5" s="6">
        <v>3300</v>
      </c>
      <c r="D5" s="6">
        <f>C5*0.75</f>
        <v>2475</v>
      </c>
      <c r="E5" s="29">
        <v>1</v>
      </c>
      <c r="F5" s="24">
        <v>3</v>
      </c>
      <c r="G5" s="27"/>
      <c r="H5" s="14"/>
      <c r="I5" s="14"/>
      <c r="J5" s="12">
        <f t="shared" ref="J5:J48" si="0">SUM(E5:I5)</f>
        <v>4</v>
      </c>
      <c r="K5" s="38"/>
      <c r="L5" s="39">
        <f>J5-K5</f>
        <v>4</v>
      </c>
      <c r="M5" s="39">
        <f>L5*D5</f>
        <v>9900</v>
      </c>
    </row>
    <row r="6" spans="1:13" s="2" customFormat="1" ht="14" customHeight="1">
      <c r="A6" s="42"/>
      <c r="B6" s="18" t="s">
        <v>26</v>
      </c>
      <c r="C6" s="6">
        <v>3300</v>
      </c>
      <c r="D6" s="6">
        <f t="shared" ref="D6:D20" si="1">C6*0.75</f>
        <v>2475</v>
      </c>
      <c r="E6" s="26">
        <v>4</v>
      </c>
      <c r="F6" s="24">
        <v>4</v>
      </c>
      <c r="G6" s="27"/>
      <c r="H6" s="14"/>
      <c r="I6" s="14"/>
      <c r="J6" s="12">
        <f t="shared" si="0"/>
        <v>8</v>
      </c>
      <c r="K6" s="39"/>
      <c r="L6" s="39">
        <f t="shared" ref="L6:L48" si="2">J6-K6</f>
        <v>8</v>
      </c>
      <c r="M6" s="39">
        <f t="shared" ref="M6:M48" si="3">L6*D6</f>
        <v>19800</v>
      </c>
    </row>
    <row r="7" spans="1:13" s="2" customFormat="1" ht="14" customHeight="1">
      <c r="A7" s="42"/>
      <c r="B7" s="18" t="s">
        <v>28</v>
      </c>
      <c r="C7" s="6">
        <v>3300</v>
      </c>
      <c r="D7" s="6">
        <f t="shared" si="1"/>
        <v>2475</v>
      </c>
      <c r="E7" s="26">
        <v>3</v>
      </c>
      <c r="F7" s="24"/>
      <c r="G7" s="27"/>
      <c r="H7" s="14"/>
      <c r="I7" s="14"/>
      <c r="J7" s="12">
        <f t="shared" si="0"/>
        <v>3</v>
      </c>
      <c r="K7" s="39"/>
      <c r="L7" s="39">
        <f t="shared" si="2"/>
        <v>3</v>
      </c>
      <c r="M7" s="39">
        <f t="shared" si="3"/>
        <v>7425</v>
      </c>
    </row>
    <row r="8" spans="1:13" s="2" customFormat="1" ht="14" customHeight="1">
      <c r="A8" s="43"/>
      <c r="B8" s="9" t="s">
        <v>27</v>
      </c>
      <c r="C8" s="6">
        <v>3300</v>
      </c>
      <c r="D8" s="6">
        <f t="shared" si="1"/>
        <v>2475</v>
      </c>
      <c r="E8" s="26">
        <v>2</v>
      </c>
      <c r="F8" s="24">
        <v>1</v>
      </c>
      <c r="G8" s="27"/>
      <c r="H8" s="14"/>
      <c r="I8" s="14"/>
      <c r="J8" s="12">
        <f t="shared" si="0"/>
        <v>3</v>
      </c>
      <c r="K8" s="39"/>
      <c r="L8" s="39">
        <f t="shared" si="2"/>
        <v>3</v>
      </c>
      <c r="M8" s="39">
        <f t="shared" si="3"/>
        <v>7425</v>
      </c>
    </row>
    <row r="9" spans="1:13" s="2" customFormat="1" ht="14" customHeight="1">
      <c r="A9" s="22" t="s">
        <v>18</v>
      </c>
      <c r="B9" s="10" t="s">
        <v>17</v>
      </c>
      <c r="C9" s="6">
        <v>3300</v>
      </c>
      <c r="D9" s="6">
        <f t="shared" si="1"/>
        <v>2475</v>
      </c>
      <c r="E9" s="26"/>
      <c r="F9" s="24"/>
      <c r="G9" s="27"/>
      <c r="H9" s="14"/>
      <c r="I9" s="14"/>
      <c r="J9" s="12">
        <f t="shared" si="0"/>
        <v>0</v>
      </c>
      <c r="K9" s="39"/>
      <c r="L9" s="39">
        <f t="shared" si="2"/>
        <v>0</v>
      </c>
      <c r="M9" s="39">
        <f t="shared" si="3"/>
        <v>0</v>
      </c>
    </row>
    <row r="10" spans="1:13" s="2" customFormat="1" ht="14" customHeight="1">
      <c r="A10" s="44" t="s">
        <v>6</v>
      </c>
      <c r="B10" s="10" t="s">
        <v>16</v>
      </c>
      <c r="C10" s="6">
        <v>3300</v>
      </c>
      <c r="D10" s="6">
        <f t="shared" si="1"/>
        <v>2475</v>
      </c>
      <c r="E10" s="26">
        <v>1</v>
      </c>
      <c r="F10" s="24">
        <v>3</v>
      </c>
      <c r="G10" s="27"/>
      <c r="H10" s="14"/>
      <c r="I10" s="14"/>
      <c r="J10" s="12">
        <f t="shared" si="0"/>
        <v>4</v>
      </c>
      <c r="K10" s="39"/>
      <c r="L10" s="39">
        <f t="shared" si="2"/>
        <v>4</v>
      </c>
      <c r="M10" s="39">
        <f t="shared" si="3"/>
        <v>9900</v>
      </c>
    </row>
    <row r="11" spans="1:13" s="2" customFormat="1" ht="14" customHeight="1">
      <c r="A11" s="56"/>
      <c r="B11" s="17" t="s">
        <v>26</v>
      </c>
      <c r="C11" s="6">
        <v>3300</v>
      </c>
      <c r="D11" s="6">
        <f t="shared" si="1"/>
        <v>2475</v>
      </c>
      <c r="E11" s="26">
        <v>2</v>
      </c>
      <c r="F11" s="24">
        <v>2</v>
      </c>
      <c r="G11" s="27"/>
      <c r="H11" s="14"/>
      <c r="I11" s="14"/>
      <c r="J11" s="12">
        <f t="shared" si="0"/>
        <v>4</v>
      </c>
      <c r="K11" s="39"/>
      <c r="L11" s="39">
        <f t="shared" si="2"/>
        <v>4</v>
      </c>
      <c r="M11" s="39">
        <f t="shared" si="3"/>
        <v>9900</v>
      </c>
    </row>
    <row r="12" spans="1:13" s="2" customFormat="1" ht="14" customHeight="1">
      <c r="A12" s="56"/>
      <c r="B12" s="10" t="s">
        <v>17</v>
      </c>
      <c r="C12" s="6">
        <v>3300</v>
      </c>
      <c r="D12" s="6">
        <f t="shared" si="1"/>
        <v>2475</v>
      </c>
      <c r="E12" s="26">
        <v>1</v>
      </c>
      <c r="F12" s="24">
        <v>3</v>
      </c>
      <c r="G12" s="27"/>
      <c r="H12" s="14"/>
      <c r="I12" s="14"/>
      <c r="J12" s="12">
        <f t="shared" si="0"/>
        <v>4</v>
      </c>
      <c r="K12" s="39"/>
      <c r="L12" s="39">
        <f t="shared" si="2"/>
        <v>4</v>
      </c>
      <c r="M12" s="39">
        <f t="shared" si="3"/>
        <v>9900</v>
      </c>
    </row>
    <row r="13" spans="1:13" ht="14" customHeight="1">
      <c r="A13" s="57"/>
      <c r="B13" s="10" t="s">
        <v>19</v>
      </c>
      <c r="C13" s="6">
        <v>3300</v>
      </c>
      <c r="D13" s="6">
        <f t="shared" si="1"/>
        <v>2475</v>
      </c>
      <c r="E13" s="26"/>
      <c r="F13" s="24"/>
      <c r="G13" s="27"/>
      <c r="H13" s="14"/>
      <c r="I13" s="14"/>
      <c r="J13" s="12">
        <f t="shared" si="0"/>
        <v>0</v>
      </c>
      <c r="K13" s="39"/>
      <c r="L13" s="39">
        <f t="shared" si="2"/>
        <v>0</v>
      </c>
      <c r="M13" s="39">
        <f t="shared" si="3"/>
        <v>0</v>
      </c>
    </row>
    <row r="14" spans="1:13" ht="14" customHeight="1">
      <c r="A14" s="44" t="s">
        <v>1</v>
      </c>
      <c r="B14" s="10" t="s">
        <v>16</v>
      </c>
      <c r="C14" s="6">
        <v>3300</v>
      </c>
      <c r="D14" s="6">
        <f t="shared" si="1"/>
        <v>2475</v>
      </c>
      <c r="E14" s="26"/>
      <c r="F14" s="24">
        <v>4</v>
      </c>
      <c r="G14" s="27"/>
      <c r="H14" s="14"/>
      <c r="I14" s="14"/>
      <c r="J14" s="12">
        <f t="shared" si="0"/>
        <v>4</v>
      </c>
      <c r="K14" s="39"/>
      <c r="L14" s="39">
        <f t="shared" si="2"/>
        <v>4</v>
      </c>
      <c r="M14" s="39">
        <f t="shared" si="3"/>
        <v>9900</v>
      </c>
    </row>
    <row r="15" spans="1:13" ht="14" customHeight="1">
      <c r="A15" s="45"/>
      <c r="B15" s="10" t="s">
        <v>17</v>
      </c>
      <c r="C15" s="6">
        <v>3300</v>
      </c>
      <c r="D15" s="6">
        <f t="shared" si="1"/>
        <v>2475</v>
      </c>
      <c r="E15" s="26">
        <v>1</v>
      </c>
      <c r="F15" s="24">
        <v>2</v>
      </c>
      <c r="G15" s="27"/>
      <c r="H15" s="14"/>
      <c r="I15" s="14"/>
      <c r="J15" s="12">
        <f t="shared" si="0"/>
        <v>3</v>
      </c>
      <c r="K15" s="39"/>
      <c r="L15" s="39">
        <f t="shared" si="2"/>
        <v>3</v>
      </c>
      <c r="M15" s="39">
        <f t="shared" si="3"/>
        <v>7425</v>
      </c>
    </row>
    <row r="16" spans="1:13" ht="14" customHeight="1">
      <c r="A16" s="55" t="s">
        <v>21</v>
      </c>
      <c r="B16" s="17" t="s">
        <v>35</v>
      </c>
      <c r="C16" s="6">
        <v>3300</v>
      </c>
      <c r="D16" s="6">
        <f t="shared" si="1"/>
        <v>2475</v>
      </c>
      <c r="E16" s="26"/>
      <c r="F16" s="24"/>
      <c r="G16" s="27"/>
      <c r="H16" s="14"/>
      <c r="I16" s="14"/>
      <c r="J16" s="12">
        <f t="shared" si="0"/>
        <v>0</v>
      </c>
      <c r="K16" s="39"/>
      <c r="L16" s="39">
        <f t="shared" si="2"/>
        <v>0</v>
      </c>
      <c r="M16" s="39">
        <f t="shared" si="3"/>
        <v>0</v>
      </c>
    </row>
    <row r="17" spans="1:13" ht="14" customHeight="1">
      <c r="A17" s="45"/>
      <c r="B17" s="17" t="s">
        <v>22</v>
      </c>
      <c r="C17" s="6">
        <v>3300</v>
      </c>
      <c r="D17" s="6">
        <f t="shared" si="1"/>
        <v>2475</v>
      </c>
      <c r="E17" s="26"/>
      <c r="F17" s="24"/>
      <c r="G17" s="27"/>
      <c r="H17" s="14"/>
      <c r="I17" s="14"/>
      <c r="J17" s="12">
        <f t="shared" si="0"/>
        <v>0</v>
      </c>
      <c r="K17" s="39"/>
      <c r="L17" s="39">
        <f t="shared" si="2"/>
        <v>0</v>
      </c>
      <c r="M17" s="39">
        <f t="shared" si="3"/>
        <v>0</v>
      </c>
    </row>
    <row r="18" spans="1:13" ht="14" customHeight="1">
      <c r="A18" s="45"/>
      <c r="B18" s="17" t="s">
        <v>23</v>
      </c>
      <c r="C18" s="6">
        <v>3300</v>
      </c>
      <c r="D18" s="6">
        <f t="shared" ref="D18" si="4">C18*0.75</f>
        <v>2475</v>
      </c>
      <c r="E18" s="26">
        <v>1</v>
      </c>
      <c r="F18" s="24">
        <v>3</v>
      </c>
      <c r="G18" s="27"/>
      <c r="H18" s="14"/>
      <c r="I18" s="14"/>
      <c r="J18" s="12">
        <f t="shared" si="0"/>
        <v>4</v>
      </c>
      <c r="K18" s="39"/>
      <c r="L18" s="39">
        <f t="shared" si="2"/>
        <v>4</v>
      </c>
      <c r="M18" s="39">
        <f t="shared" si="3"/>
        <v>9900</v>
      </c>
    </row>
    <row r="19" spans="1:13" ht="14" customHeight="1">
      <c r="A19" s="54"/>
      <c r="B19" s="17" t="s">
        <v>27</v>
      </c>
      <c r="C19" s="6">
        <v>3300</v>
      </c>
      <c r="D19" s="6">
        <f t="shared" si="1"/>
        <v>2475</v>
      </c>
      <c r="E19" s="26">
        <v>2</v>
      </c>
      <c r="F19" s="24">
        <v>2</v>
      </c>
      <c r="G19" s="27"/>
      <c r="H19" s="14"/>
      <c r="I19" s="14"/>
      <c r="J19" s="12">
        <f t="shared" si="0"/>
        <v>4</v>
      </c>
      <c r="K19" s="39"/>
      <c r="L19" s="39">
        <f t="shared" si="2"/>
        <v>4</v>
      </c>
      <c r="M19" s="39">
        <f t="shared" si="3"/>
        <v>9900</v>
      </c>
    </row>
    <row r="20" spans="1:13" ht="14" customHeight="1">
      <c r="A20" s="21" t="s">
        <v>46</v>
      </c>
      <c r="B20" s="28" t="s">
        <v>35</v>
      </c>
      <c r="C20" s="6">
        <v>3300</v>
      </c>
      <c r="D20" s="6">
        <f t="shared" si="1"/>
        <v>2475</v>
      </c>
      <c r="E20" s="26">
        <v>3</v>
      </c>
      <c r="F20" s="24"/>
      <c r="G20" s="27"/>
      <c r="H20" s="14"/>
      <c r="I20" s="14"/>
      <c r="J20" s="12">
        <f t="shared" si="0"/>
        <v>3</v>
      </c>
      <c r="K20" s="39"/>
      <c r="L20" s="39">
        <f t="shared" si="2"/>
        <v>3</v>
      </c>
      <c r="M20" s="39">
        <f t="shared" si="3"/>
        <v>7425</v>
      </c>
    </row>
    <row r="21" spans="1:13" s="37" customFormat="1" ht="26" customHeight="1">
      <c r="A21" s="30" t="s">
        <v>48</v>
      </c>
      <c r="B21" s="31" t="s">
        <v>22</v>
      </c>
      <c r="C21" s="32">
        <v>3300</v>
      </c>
      <c r="D21" s="32">
        <f t="shared" ref="D21" si="5">C21*0.75</f>
        <v>2475</v>
      </c>
      <c r="E21" s="26">
        <v>2</v>
      </c>
      <c r="F21" s="33"/>
      <c r="G21" s="34"/>
      <c r="H21" s="35"/>
      <c r="I21" s="35"/>
      <c r="J21" s="36">
        <f t="shared" si="0"/>
        <v>2</v>
      </c>
      <c r="K21" s="39"/>
      <c r="L21" s="39">
        <f t="shared" si="2"/>
        <v>2</v>
      </c>
      <c r="M21" s="39">
        <f t="shared" si="3"/>
        <v>4950</v>
      </c>
    </row>
    <row r="22" spans="1:13" ht="14" customHeight="1">
      <c r="A22" s="44" t="s">
        <v>42</v>
      </c>
      <c r="B22" s="17" t="s">
        <v>35</v>
      </c>
      <c r="C22" s="6">
        <v>3300</v>
      </c>
      <c r="D22" s="6">
        <f>C22*0.75</f>
        <v>2475</v>
      </c>
      <c r="E22" s="26"/>
      <c r="F22" s="24"/>
      <c r="G22" s="27"/>
      <c r="H22" s="14"/>
      <c r="I22" s="14"/>
      <c r="J22" s="12">
        <f t="shared" si="0"/>
        <v>0</v>
      </c>
      <c r="K22" s="39"/>
      <c r="L22" s="39">
        <f t="shared" si="2"/>
        <v>0</v>
      </c>
      <c r="M22" s="39">
        <f t="shared" si="3"/>
        <v>0</v>
      </c>
    </row>
    <row r="23" spans="1:13" ht="14" customHeight="1">
      <c r="A23" s="45"/>
      <c r="B23" s="17" t="s">
        <v>22</v>
      </c>
      <c r="C23" s="6">
        <v>3300</v>
      </c>
      <c r="D23" s="6">
        <f t="shared" ref="D23:D24" si="6">C23*0.75</f>
        <v>2475</v>
      </c>
      <c r="E23" s="26"/>
      <c r="F23" s="24"/>
      <c r="G23" s="27"/>
      <c r="H23" s="14"/>
      <c r="I23" s="14"/>
      <c r="J23" s="12">
        <f t="shared" si="0"/>
        <v>0</v>
      </c>
      <c r="K23" s="39"/>
      <c r="L23" s="39">
        <f t="shared" si="2"/>
        <v>0</v>
      </c>
      <c r="M23" s="39">
        <f t="shared" si="3"/>
        <v>0</v>
      </c>
    </row>
    <row r="24" spans="1:13" ht="14" customHeight="1">
      <c r="A24" s="54"/>
      <c r="B24" s="17" t="s">
        <v>28</v>
      </c>
      <c r="C24" s="6">
        <v>3300</v>
      </c>
      <c r="D24" s="6">
        <f t="shared" si="6"/>
        <v>2475</v>
      </c>
      <c r="E24" s="26">
        <v>2</v>
      </c>
      <c r="F24" s="24">
        <v>1</v>
      </c>
      <c r="G24" s="27"/>
      <c r="H24" s="14"/>
      <c r="I24" s="14"/>
      <c r="J24" s="12">
        <f t="shared" si="0"/>
        <v>3</v>
      </c>
      <c r="K24" s="39"/>
      <c r="L24" s="39">
        <f t="shared" si="2"/>
        <v>3</v>
      </c>
      <c r="M24" s="39">
        <f t="shared" si="3"/>
        <v>7425</v>
      </c>
    </row>
    <row r="25" spans="1:13" ht="14" customHeight="1">
      <c r="A25" s="44" t="s">
        <v>34</v>
      </c>
      <c r="B25" s="17" t="s">
        <v>26</v>
      </c>
      <c r="C25" s="6">
        <v>5500</v>
      </c>
      <c r="D25" s="6">
        <f t="shared" ref="D25:D29" si="7">C25*0.8</f>
        <v>4400</v>
      </c>
      <c r="E25" s="26"/>
      <c r="F25" s="24"/>
      <c r="G25" s="27"/>
      <c r="H25" s="14"/>
      <c r="I25" s="14"/>
      <c r="J25" s="12">
        <f t="shared" si="0"/>
        <v>0</v>
      </c>
      <c r="K25" s="39"/>
      <c r="L25" s="39">
        <f t="shared" si="2"/>
        <v>0</v>
      </c>
      <c r="M25" s="39">
        <f t="shared" si="3"/>
        <v>0</v>
      </c>
    </row>
    <row r="26" spans="1:13" ht="14" customHeight="1">
      <c r="A26" s="57"/>
      <c r="B26" s="21" t="s">
        <v>28</v>
      </c>
      <c r="C26" s="6">
        <v>5500</v>
      </c>
      <c r="D26" s="6">
        <f t="shared" si="7"/>
        <v>4400</v>
      </c>
      <c r="E26" s="26"/>
      <c r="F26" s="24"/>
      <c r="G26" s="27"/>
      <c r="H26" s="14"/>
      <c r="I26" s="14"/>
      <c r="J26" s="12">
        <f t="shared" si="0"/>
        <v>0</v>
      </c>
      <c r="K26" s="39"/>
      <c r="L26" s="39">
        <f t="shared" si="2"/>
        <v>0</v>
      </c>
      <c r="M26" s="39">
        <f t="shared" si="3"/>
        <v>0</v>
      </c>
    </row>
    <row r="27" spans="1:13" ht="14" customHeight="1">
      <c r="A27" s="44" t="s">
        <v>32</v>
      </c>
      <c r="B27" s="21" t="s">
        <v>33</v>
      </c>
      <c r="C27" s="6">
        <v>5500</v>
      </c>
      <c r="D27" s="6">
        <f t="shared" si="7"/>
        <v>4400</v>
      </c>
      <c r="E27" s="26"/>
      <c r="F27" s="24"/>
      <c r="G27" s="27"/>
      <c r="H27" s="14"/>
      <c r="I27" s="14"/>
      <c r="J27" s="12">
        <f t="shared" si="0"/>
        <v>0</v>
      </c>
      <c r="K27" s="39"/>
      <c r="L27" s="39">
        <f t="shared" si="2"/>
        <v>0</v>
      </c>
      <c r="M27" s="39">
        <f t="shared" si="3"/>
        <v>0</v>
      </c>
    </row>
    <row r="28" spans="1:13" ht="14" customHeight="1">
      <c r="A28" s="56"/>
      <c r="B28" s="21" t="s">
        <v>28</v>
      </c>
      <c r="C28" s="6">
        <v>5500</v>
      </c>
      <c r="D28" s="6">
        <f t="shared" si="7"/>
        <v>4400</v>
      </c>
      <c r="E28" s="26"/>
      <c r="F28" s="24"/>
      <c r="G28" s="27"/>
      <c r="H28" s="14"/>
      <c r="I28" s="14"/>
      <c r="J28" s="12">
        <f t="shared" si="0"/>
        <v>0</v>
      </c>
      <c r="K28" s="39"/>
      <c r="L28" s="39">
        <f t="shared" si="2"/>
        <v>0</v>
      </c>
      <c r="M28" s="39">
        <f t="shared" si="3"/>
        <v>0</v>
      </c>
    </row>
    <row r="29" spans="1:13" ht="14" customHeight="1">
      <c r="A29" s="56"/>
      <c r="B29" s="21" t="s">
        <v>26</v>
      </c>
      <c r="C29" s="6">
        <v>5500</v>
      </c>
      <c r="D29" s="6">
        <f t="shared" si="7"/>
        <v>4400</v>
      </c>
      <c r="E29" s="26"/>
      <c r="F29" s="24"/>
      <c r="G29" s="27"/>
      <c r="H29" s="14"/>
      <c r="I29" s="14"/>
      <c r="J29" s="12">
        <f t="shared" si="0"/>
        <v>0</v>
      </c>
      <c r="K29" s="39"/>
      <c r="L29" s="39">
        <f t="shared" si="2"/>
        <v>0</v>
      </c>
      <c r="M29" s="39">
        <f t="shared" si="3"/>
        <v>0</v>
      </c>
    </row>
    <row r="30" spans="1:13" ht="14" customHeight="1">
      <c r="A30" s="57"/>
      <c r="B30" s="21" t="s">
        <v>44</v>
      </c>
      <c r="C30" s="6">
        <v>5500</v>
      </c>
      <c r="D30" s="6">
        <f t="shared" ref="D30" si="8">C30*0.8</f>
        <v>4400</v>
      </c>
      <c r="E30" s="26"/>
      <c r="F30" s="24"/>
      <c r="G30" s="27"/>
      <c r="H30" s="14"/>
      <c r="I30" s="14"/>
      <c r="J30" s="12">
        <f t="shared" si="0"/>
        <v>0</v>
      </c>
      <c r="K30" s="39"/>
      <c r="L30" s="39">
        <f t="shared" si="2"/>
        <v>0</v>
      </c>
      <c r="M30" s="39">
        <f t="shared" si="3"/>
        <v>0</v>
      </c>
    </row>
    <row r="31" spans="1:13" ht="14" customHeight="1">
      <c r="A31" s="46" t="s">
        <v>4</v>
      </c>
      <c r="B31" s="47"/>
      <c r="C31" s="5">
        <v>1700</v>
      </c>
      <c r="D31" s="5">
        <f>C31*0.75</f>
        <v>1275</v>
      </c>
      <c r="E31" s="26">
        <v>3</v>
      </c>
      <c r="F31" s="24">
        <v>1</v>
      </c>
      <c r="G31" s="27"/>
      <c r="H31" s="15"/>
      <c r="I31" s="15"/>
      <c r="J31" s="12">
        <f t="shared" si="0"/>
        <v>4</v>
      </c>
      <c r="K31" s="39"/>
      <c r="L31" s="39">
        <f t="shared" si="2"/>
        <v>4</v>
      </c>
      <c r="M31" s="39">
        <f t="shared" si="3"/>
        <v>5100</v>
      </c>
    </row>
    <row r="32" spans="1:13" ht="14" customHeight="1">
      <c r="A32" s="46" t="s">
        <v>20</v>
      </c>
      <c r="B32" s="47"/>
      <c r="C32" s="5">
        <v>1700</v>
      </c>
      <c r="D32" s="5">
        <f>C32*0.75</f>
        <v>1275</v>
      </c>
      <c r="E32" s="26">
        <v>2</v>
      </c>
      <c r="F32" s="24"/>
      <c r="G32" s="27"/>
      <c r="H32" s="15"/>
      <c r="I32" s="15"/>
      <c r="J32" s="12">
        <f t="shared" si="0"/>
        <v>2</v>
      </c>
      <c r="K32" s="39"/>
      <c r="L32" s="39">
        <f t="shared" si="2"/>
        <v>2</v>
      </c>
      <c r="M32" s="39">
        <f t="shared" si="3"/>
        <v>2550</v>
      </c>
    </row>
    <row r="33" spans="1:13" ht="14" customHeight="1">
      <c r="A33" s="46" t="s">
        <v>31</v>
      </c>
      <c r="B33" s="47"/>
      <c r="C33" s="5">
        <v>1700</v>
      </c>
      <c r="D33" s="5">
        <f>C33*0.75</f>
        <v>1275</v>
      </c>
      <c r="E33" s="26">
        <v>0</v>
      </c>
      <c r="F33" s="24">
        <v>2</v>
      </c>
      <c r="G33" s="27"/>
      <c r="H33" s="15"/>
      <c r="I33" s="15"/>
      <c r="J33" s="12">
        <f t="shared" si="0"/>
        <v>2</v>
      </c>
      <c r="K33" s="39"/>
      <c r="L33" s="39">
        <f t="shared" si="2"/>
        <v>2</v>
      </c>
      <c r="M33" s="39">
        <f t="shared" si="3"/>
        <v>2550</v>
      </c>
    </row>
    <row r="34" spans="1:13" ht="14" customHeight="1">
      <c r="A34" s="46" t="s">
        <v>36</v>
      </c>
      <c r="B34" s="47"/>
      <c r="C34" s="5">
        <v>1800</v>
      </c>
      <c r="D34" s="5">
        <f>C34*0.75</f>
        <v>1350</v>
      </c>
      <c r="E34" s="26"/>
      <c r="F34" s="24"/>
      <c r="G34" s="27"/>
      <c r="H34" s="15"/>
      <c r="I34" s="15"/>
      <c r="J34" s="12">
        <f t="shared" si="0"/>
        <v>0</v>
      </c>
      <c r="K34" s="39"/>
      <c r="L34" s="39">
        <f t="shared" si="2"/>
        <v>0</v>
      </c>
      <c r="M34" s="39">
        <f t="shared" si="3"/>
        <v>0</v>
      </c>
    </row>
    <row r="35" spans="1:13" ht="14" customHeight="1">
      <c r="A35" s="46" t="s">
        <v>5</v>
      </c>
      <c r="B35" s="47"/>
      <c r="C35" s="5">
        <v>1700</v>
      </c>
      <c r="D35" s="5">
        <f t="shared" ref="D35:D39" si="9">C35*0.75</f>
        <v>1275</v>
      </c>
      <c r="E35" s="26"/>
      <c r="F35" s="24"/>
      <c r="G35" s="27"/>
      <c r="H35" s="15"/>
      <c r="I35" s="15"/>
      <c r="J35" s="12">
        <f t="shared" si="0"/>
        <v>0</v>
      </c>
      <c r="K35" s="39"/>
      <c r="L35" s="39">
        <f t="shared" si="2"/>
        <v>0</v>
      </c>
      <c r="M35" s="39">
        <f t="shared" si="3"/>
        <v>0</v>
      </c>
    </row>
    <row r="36" spans="1:13" ht="14" customHeight="1">
      <c r="A36" s="46" t="s">
        <v>40</v>
      </c>
      <c r="B36" s="47"/>
      <c r="C36" s="5">
        <v>1700</v>
      </c>
      <c r="D36" s="5">
        <f t="shared" ref="D36:D37" si="10">C36*0.75</f>
        <v>1275</v>
      </c>
      <c r="E36" s="26"/>
      <c r="F36" s="24"/>
      <c r="G36" s="27"/>
      <c r="H36" s="15"/>
      <c r="I36" s="15"/>
      <c r="J36" s="12">
        <f t="shared" si="0"/>
        <v>0</v>
      </c>
      <c r="K36" s="39"/>
      <c r="L36" s="39">
        <f t="shared" si="2"/>
        <v>0</v>
      </c>
      <c r="M36" s="39">
        <f t="shared" si="3"/>
        <v>0</v>
      </c>
    </row>
    <row r="37" spans="1:13" ht="14" customHeight="1">
      <c r="A37" s="46" t="s">
        <v>47</v>
      </c>
      <c r="B37" s="47"/>
      <c r="C37" s="5">
        <v>1700</v>
      </c>
      <c r="D37" s="5">
        <f t="shared" si="10"/>
        <v>1275</v>
      </c>
      <c r="E37" s="26"/>
      <c r="F37" s="24"/>
      <c r="G37" s="27"/>
      <c r="H37" s="15"/>
      <c r="I37" s="15"/>
      <c r="J37" s="12">
        <f t="shared" si="0"/>
        <v>0</v>
      </c>
      <c r="K37" s="39"/>
      <c r="L37" s="39">
        <f t="shared" si="2"/>
        <v>0</v>
      </c>
      <c r="M37" s="39">
        <f t="shared" si="3"/>
        <v>0</v>
      </c>
    </row>
    <row r="38" spans="1:13" ht="14" customHeight="1">
      <c r="A38" s="52" t="s">
        <v>24</v>
      </c>
      <c r="B38" s="53"/>
      <c r="C38" s="5">
        <v>1500</v>
      </c>
      <c r="D38" s="5">
        <f t="shared" si="9"/>
        <v>1125</v>
      </c>
      <c r="E38" s="26"/>
      <c r="F38" s="24"/>
      <c r="G38" s="27"/>
      <c r="H38" s="15"/>
      <c r="I38" s="15"/>
      <c r="J38" s="12">
        <f t="shared" si="0"/>
        <v>0</v>
      </c>
      <c r="K38" s="39"/>
      <c r="L38" s="39">
        <f t="shared" si="2"/>
        <v>0</v>
      </c>
      <c r="M38" s="39">
        <f t="shared" si="3"/>
        <v>0</v>
      </c>
    </row>
    <row r="39" spans="1:13" ht="14" customHeight="1">
      <c r="A39" s="52" t="s">
        <v>25</v>
      </c>
      <c r="B39" s="53"/>
      <c r="C39" s="5">
        <v>1500</v>
      </c>
      <c r="D39" s="5">
        <f t="shared" si="9"/>
        <v>1125</v>
      </c>
      <c r="E39" s="26">
        <v>2</v>
      </c>
      <c r="F39" s="24"/>
      <c r="G39" s="27"/>
      <c r="H39" s="15"/>
      <c r="I39" s="15"/>
      <c r="J39" s="12">
        <f t="shared" si="0"/>
        <v>2</v>
      </c>
      <c r="K39" s="39"/>
      <c r="L39" s="39">
        <f t="shared" si="2"/>
        <v>2</v>
      </c>
      <c r="M39" s="39">
        <f t="shared" si="3"/>
        <v>2250</v>
      </c>
    </row>
    <row r="40" spans="1:13" ht="14" customHeight="1">
      <c r="A40" s="52" t="s">
        <v>37</v>
      </c>
      <c r="B40" s="53"/>
      <c r="C40" s="5">
        <v>1500</v>
      </c>
      <c r="D40" s="5">
        <f t="shared" ref="D40" si="11">C40*0.75</f>
        <v>1125</v>
      </c>
      <c r="E40" s="26"/>
      <c r="F40" s="24"/>
      <c r="G40" s="27"/>
      <c r="H40" s="15"/>
      <c r="I40" s="15"/>
      <c r="J40" s="12">
        <f t="shared" si="0"/>
        <v>0</v>
      </c>
      <c r="K40" s="39"/>
      <c r="L40" s="39">
        <f t="shared" si="2"/>
        <v>0</v>
      </c>
      <c r="M40" s="39">
        <f t="shared" si="3"/>
        <v>0</v>
      </c>
    </row>
    <row r="41" spans="1:13" ht="14" customHeight="1">
      <c r="A41" s="52" t="s">
        <v>41</v>
      </c>
      <c r="B41" s="53"/>
      <c r="C41" s="5">
        <v>1500</v>
      </c>
      <c r="D41" s="5">
        <f t="shared" ref="D41:D42" si="12">C41*0.75</f>
        <v>1125</v>
      </c>
      <c r="E41" s="26"/>
      <c r="F41" s="24"/>
      <c r="G41" s="27"/>
      <c r="H41" s="15"/>
      <c r="I41" s="15"/>
      <c r="J41" s="12">
        <f t="shared" si="0"/>
        <v>0</v>
      </c>
      <c r="K41" s="39"/>
      <c r="L41" s="39">
        <f t="shared" si="2"/>
        <v>0</v>
      </c>
      <c r="M41" s="39">
        <f t="shared" si="3"/>
        <v>0</v>
      </c>
    </row>
    <row r="42" spans="1:13" ht="14" customHeight="1">
      <c r="A42" s="52" t="s">
        <v>43</v>
      </c>
      <c r="B42" s="53"/>
      <c r="C42" s="5">
        <v>1600</v>
      </c>
      <c r="D42" s="5">
        <f t="shared" si="12"/>
        <v>1200</v>
      </c>
      <c r="E42" s="26"/>
      <c r="F42" s="24"/>
      <c r="G42" s="27"/>
      <c r="H42" s="15"/>
      <c r="I42" s="15"/>
      <c r="J42" s="12">
        <f t="shared" si="0"/>
        <v>0</v>
      </c>
      <c r="K42" s="39"/>
      <c r="L42" s="39">
        <f t="shared" si="2"/>
        <v>0</v>
      </c>
      <c r="M42" s="39">
        <f t="shared" si="3"/>
        <v>0</v>
      </c>
    </row>
    <row r="43" spans="1:13" ht="14" customHeight="1">
      <c r="A43" s="46" t="s">
        <v>2</v>
      </c>
      <c r="B43" s="58"/>
      <c r="C43" s="5">
        <v>1500</v>
      </c>
      <c r="D43" s="5">
        <f>C43*0.75</f>
        <v>1125</v>
      </c>
      <c r="E43" s="26">
        <v>0</v>
      </c>
      <c r="F43" s="24">
        <v>5</v>
      </c>
      <c r="G43" s="27"/>
      <c r="H43" s="15"/>
      <c r="I43" s="15"/>
      <c r="J43" s="12">
        <f t="shared" si="0"/>
        <v>5</v>
      </c>
      <c r="K43" s="39"/>
      <c r="L43" s="39">
        <f t="shared" si="2"/>
        <v>5</v>
      </c>
      <c r="M43" s="39">
        <f t="shared" si="3"/>
        <v>5625</v>
      </c>
    </row>
    <row r="44" spans="1:13" ht="14" customHeight="1">
      <c r="A44" s="46" t="s">
        <v>3</v>
      </c>
      <c r="B44" s="47"/>
      <c r="C44" s="5">
        <v>1500</v>
      </c>
      <c r="D44" s="5">
        <f>C44*0.75</f>
        <v>1125</v>
      </c>
      <c r="E44" s="26">
        <v>2</v>
      </c>
      <c r="F44" s="24"/>
      <c r="G44" s="27"/>
      <c r="H44" s="15"/>
      <c r="I44" s="15"/>
      <c r="J44" s="12">
        <f t="shared" si="0"/>
        <v>2</v>
      </c>
      <c r="K44" s="39"/>
      <c r="L44" s="39">
        <f t="shared" si="2"/>
        <v>2</v>
      </c>
      <c r="M44" s="39">
        <f t="shared" si="3"/>
        <v>2250</v>
      </c>
    </row>
    <row r="45" spans="1:13" ht="14" customHeight="1">
      <c r="A45" s="46" t="s">
        <v>39</v>
      </c>
      <c r="B45" s="47"/>
      <c r="C45" s="5">
        <v>1500</v>
      </c>
      <c r="D45" s="5">
        <f t="shared" ref="D45" si="13">C45*0.75</f>
        <v>1125</v>
      </c>
      <c r="E45" s="26">
        <v>3</v>
      </c>
      <c r="F45" s="24"/>
      <c r="G45" s="27"/>
      <c r="H45" s="15"/>
      <c r="I45" s="15"/>
      <c r="J45" s="12">
        <f t="shared" si="0"/>
        <v>3</v>
      </c>
      <c r="K45" s="39"/>
      <c r="L45" s="39">
        <f t="shared" si="2"/>
        <v>3</v>
      </c>
      <c r="M45" s="39">
        <f t="shared" si="3"/>
        <v>3375</v>
      </c>
    </row>
    <row r="46" spans="1:13" ht="14" customHeight="1">
      <c r="A46" s="19" t="s">
        <v>29</v>
      </c>
      <c r="B46" s="20"/>
      <c r="C46" s="5">
        <v>1700</v>
      </c>
      <c r="D46" s="5">
        <f>C46*0.75</f>
        <v>1275</v>
      </c>
      <c r="E46" s="26"/>
      <c r="F46" s="24"/>
      <c r="G46" s="27"/>
      <c r="H46" s="15"/>
      <c r="I46" s="15"/>
      <c r="J46" s="12">
        <f t="shared" si="0"/>
        <v>0</v>
      </c>
      <c r="K46" s="39"/>
      <c r="L46" s="39">
        <f t="shared" si="2"/>
        <v>0</v>
      </c>
      <c r="M46" s="39">
        <f t="shared" si="3"/>
        <v>0</v>
      </c>
    </row>
    <row r="47" spans="1:13" ht="14" customHeight="1">
      <c r="A47" s="19" t="s">
        <v>30</v>
      </c>
      <c r="B47" s="20"/>
      <c r="C47" s="5">
        <v>1700</v>
      </c>
      <c r="D47" s="5">
        <f>C47*0.75</f>
        <v>1275</v>
      </c>
      <c r="E47" s="26"/>
      <c r="F47" s="24"/>
      <c r="G47" s="27"/>
      <c r="H47" s="15"/>
      <c r="I47" s="15"/>
      <c r="J47" s="12">
        <f t="shared" si="0"/>
        <v>0</v>
      </c>
      <c r="K47" s="39"/>
      <c r="L47" s="39">
        <f t="shared" si="2"/>
        <v>0</v>
      </c>
      <c r="M47" s="39">
        <f t="shared" si="3"/>
        <v>0</v>
      </c>
    </row>
    <row r="48" spans="1:13" ht="14" customHeight="1">
      <c r="A48" s="19" t="s">
        <v>38</v>
      </c>
      <c r="B48" s="20"/>
      <c r="C48" s="5">
        <v>1700</v>
      </c>
      <c r="D48" s="5">
        <f t="shared" ref="D48" si="14">C48*0.75</f>
        <v>1275</v>
      </c>
      <c r="E48" s="26"/>
      <c r="F48" s="24"/>
      <c r="G48" s="27"/>
      <c r="H48" s="15"/>
      <c r="I48" s="15"/>
      <c r="J48" s="12">
        <f t="shared" si="0"/>
        <v>0</v>
      </c>
      <c r="K48" s="39"/>
      <c r="L48" s="39">
        <f t="shared" si="2"/>
        <v>0</v>
      </c>
      <c r="M48" s="39">
        <f t="shared" si="3"/>
        <v>0</v>
      </c>
    </row>
    <row r="49" spans="1:13" ht="16" customHeight="1">
      <c r="A49" s="46"/>
      <c r="B49" s="47"/>
      <c r="C49" s="5"/>
      <c r="D49" s="3" t="s">
        <v>7</v>
      </c>
      <c r="E49" s="5">
        <f t="shared" ref="E49:M49" si="15">SUM(E5:E48)</f>
        <v>37</v>
      </c>
      <c r="F49" s="6">
        <f t="shared" si="15"/>
        <v>36</v>
      </c>
      <c r="G49" s="5">
        <f t="shared" si="15"/>
        <v>0</v>
      </c>
      <c r="H49" s="5">
        <f t="shared" si="15"/>
        <v>0</v>
      </c>
      <c r="I49" s="5">
        <f t="shared" si="15"/>
        <v>0</v>
      </c>
      <c r="J49" s="5">
        <f t="shared" si="15"/>
        <v>73</v>
      </c>
      <c r="K49" s="40">
        <f t="shared" si="15"/>
        <v>0</v>
      </c>
      <c r="L49" s="40">
        <f t="shared" si="15"/>
        <v>73</v>
      </c>
      <c r="M49" s="40">
        <f t="shared" si="15"/>
        <v>154875</v>
      </c>
    </row>
    <row r="50" spans="1:13" ht="21" customHeight="1">
      <c r="A50" s="4" t="s">
        <v>51</v>
      </c>
      <c r="K50" s="4" t="s">
        <v>50</v>
      </c>
    </row>
  </sheetData>
  <mergeCells count="34">
    <mergeCell ref="M3:M4"/>
    <mergeCell ref="E3:E4"/>
    <mergeCell ref="F3:I3"/>
    <mergeCell ref="J3:J4"/>
    <mergeCell ref="L3:L4"/>
    <mergeCell ref="K3:K4"/>
    <mergeCell ref="A49:B49"/>
    <mergeCell ref="A43:B43"/>
    <mergeCell ref="A44:B44"/>
    <mergeCell ref="A25:A26"/>
    <mergeCell ref="A40:B40"/>
    <mergeCell ref="A34:B34"/>
    <mergeCell ref="A42:B42"/>
    <mergeCell ref="A35:B35"/>
    <mergeCell ref="A32:B32"/>
    <mergeCell ref="A33:B33"/>
    <mergeCell ref="A31:B31"/>
    <mergeCell ref="A36:B36"/>
    <mergeCell ref="A37:B37"/>
    <mergeCell ref="A5:A8"/>
    <mergeCell ref="A14:A15"/>
    <mergeCell ref="A45:B45"/>
    <mergeCell ref="A1:D1"/>
    <mergeCell ref="A3:A4"/>
    <mergeCell ref="B3:B4"/>
    <mergeCell ref="C3:C4"/>
    <mergeCell ref="D3:D4"/>
    <mergeCell ref="A41:B41"/>
    <mergeCell ref="A38:B38"/>
    <mergeCell ref="A39:B39"/>
    <mergeCell ref="A22:A24"/>
    <mergeCell ref="A16:A19"/>
    <mergeCell ref="A10:A13"/>
    <mergeCell ref="A27:A30"/>
  </mergeCells>
  <phoneticPr fontId="2"/>
  <pageMargins left="0.58333333333333337" right="0.29629629629629628" top="0.59259259259259256" bottom="0.35185185185185186" header="0.3582677165354331" footer="0.51181102362204722"/>
  <pageSetup paperSize="10" orientation="portrait" horizontalDpi="4294967292" verticalDpi="4294967292"/>
  <headerFooter>
    <oddHeader>&amp;C委託販売納品書</oddHeader>
  </headerFooter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T0.75_P0.8</vt:lpstr>
    </vt:vector>
  </TitlesOfParts>
  <Company>サンタクリエイトシステム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山田 努</dc:creator>
  <cp:lastModifiedBy>サンタ山田</cp:lastModifiedBy>
  <cp:lastPrinted>2026-04-28T03:00:53Z</cp:lastPrinted>
  <dcterms:created xsi:type="dcterms:W3CDTF">2018-04-30T04:22:05Z</dcterms:created>
  <dcterms:modified xsi:type="dcterms:W3CDTF">2026-06-10T07:50:22Z</dcterms:modified>
</cp:coreProperties>
</file>